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https://d.docs.live.net/7d6f9fc98c6048e1/SEMPREVIVA/Empresa/Indicadors/"/>
    </mc:Choice>
  </mc:AlternateContent>
  <xr:revisionPtr revIDLastSave="632" documentId="8_{3B435F0B-5D09-412B-B918-AF7CA92643FF}" xr6:coauthVersionLast="47" xr6:coauthVersionMax="47" xr10:uidLastSave="{AC6C41F1-B824-4FAE-9628-155C26721039}"/>
  <bookViews>
    <workbookView xWindow="-110" yWindow="-110" windowWidth="19420" windowHeight="10300" firstSheet="5" activeTab="7" xr2:uid="{00000000-000D-0000-FFFF-FFFF00000000}"/>
  </bookViews>
  <sheets>
    <sheet name="Cronograma de Trabajo" sheetId="1" r:id="rId1"/>
    <sheet name="SEMANA 1" sheetId="2" r:id="rId2"/>
    <sheet name="Glosario de Conceptos Básicos" sheetId="3" r:id="rId3"/>
    <sheet name="Cuestionario de Salud Financier" sheetId="4" r:id="rId4"/>
    <sheet name="SEMANA 2" sheetId="5" r:id="rId5"/>
    <sheet name="1 GASTOS" sheetId="6" r:id="rId6"/>
    <sheet name="1 GASTOS mensuales" sheetId="22" r:id="rId7"/>
    <sheet name="2 INGRESOS" sheetId="7" r:id="rId8"/>
    <sheet name="2 INGRESOS mensuales" sheetId="23" r:id="rId9"/>
    <sheet name="3 COMPENSACIÓN" sheetId="8" r:id="rId10"/>
    <sheet name="SEMANA 3" sheetId="9" r:id="rId11"/>
    <sheet name="4 DISTRIBUCIÓN AL AZAR -NEGOCIO" sheetId="10" r:id="rId12"/>
    <sheet name="4 DISTRIBUCIÓN AL AZAR-NEGOCIO " sheetId="11" r:id="rId13"/>
    <sheet name="SEMANA 4" sheetId="12" r:id="rId14"/>
    <sheet name="5 META DE DISTRIBUCIÓN - NEGOCI" sheetId="13" r:id="rId15"/>
    <sheet name="servicios" sheetId="14" r:id="rId16"/>
    <sheet name="SEMANA 5" sheetId="15" r:id="rId17"/>
    <sheet name="SEMANA 6" sheetId="16" r:id="rId18"/>
    <sheet name="6 REDUCCIÓN DE GASTOS" sheetId="17" r:id="rId19"/>
    <sheet name="SEMANA 7" sheetId="18" r:id="rId20"/>
    <sheet name="7 CUÁNTO VENDER AL DÍA" sheetId="19" r:id="rId21"/>
    <sheet name="8 TICKET MEDIO" sheetId="20" r:id="rId22"/>
    <sheet name="ESTRATEGIAS EXTRAS" sheetId="21"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8" i="23" l="1"/>
  <c r="F37" i="23"/>
  <c r="F39" i="23"/>
  <c r="F50" i="23"/>
  <c r="F36" i="23"/>
  <c r="G44" i="23"/>
  <c r="G37" i="23"/>
  <c r="F44" i="23"/>
  <c r="O13" i="23"/>
  <c r="O12" i="23"/>
  <c r="G30" i="23"/>
  <c r="H30" i="23"/>
  <c r="I30" i="23"/>
  <c r="F30" i="23"/>
  <c r="G28" i="23"/>
  <c r="F28" i="23"/>
  <c r="N28" i="23" s="1"/>
  <c r="F10" i="23"/>
  <c r="F5" i="23"/>
  <c r="G6" i="23"/>
  <c r="F12" i="22"/>
  <c r="N29" i="22"/>
  <c r="G26" i="22"/>
  <c r="G13" i="22"/>
  <c r="G22" i="22" s="1"/>
  <c r="G18" i="22"/>
  <c r="F18" i="22"/>
  <c r="E18" i="22"/>
  <c r="N46" i="23"/>
  <c r="N49" i="23"/>
  <c r="F22" i="22"/>
  <c r="C11" i="7"/>
  <c r="E44" i="23"/>
  <c r="E37" i="23"/>
  <c r="E43" i="23"/>
  <c r="E46" i="23"/>
  <c r="E6" i="23"/>
  <c r="E33" i="22"/>
  <c r="E16" i="22"/>
  <c r="D37" i="23"/>
  <c r="D50" i="23"/>
  <c r="D8" i="23"/>
  <c r="D9" i="22"/>
  <c r="D20" i="22"/>
  <c r="C20" i="22"/>
  <c r="D26" i="22"/>
  <c r="D31" i="22" s="1"/>
  <c r="D34" i="22" s="1"/>
  <c r="C26" i="22"/>
  <c r="C9" i="22"/>
  <c r="D16" i="22"/>
  <c r="D11" i="22"/>
  <c r="C11" i="22"/>
  <c r="C22" i="22" s="1"/>
  <c r="C30" i="22"/>
  <c r="C31" i="22" s="1"/>
  <c r="C34" i="22" s="1"/>
  <c r="B17" i="22"/>
  <c r="B37" i="23"/>
  <c r="B50" i="23" s="1"/>
  <c r="I50" i="23"/>
  <c r="N40" i="23"/>
  <c r="K50" i="23"/>
  <c r="M50" i="23"/>
  <c r="N31" i="23"/>
  <c r="N30" i="23"/>
  <c r="N29" i="23"/>
  <c r="L22" i="22"/>
  <c r="L50" i="23"/>
  <c r="H50" i="23"/>
  <c r="N11" i="23"/>
  <c r="N47" i="23"/>
  <c r="F31" i="22"/>
  <c r="F34" i="22" s="1"/>
  <c r="N45" i="23"/>
  <c r="E31" i="22"/>
  <c r="E34" i="22" s="1"/>
  <c r="G31" i="22"/>
  <c r="G34" i="22" s="1"/>
  <c r="H31" i="22"/>
  <c r="H34" i="22" s="1"/>
  <c r="I31" i="22"/>
  <c r="I34" i="22" s="1"/>
  <c r="J31" i="22"/>
  <c r="J34" i="22" s="1"/>
  <c r="K31" i="22"/>
  <c r="K34" i="22" s="1"/>
  <c r="L31" i="22"/>
  <c r="L34" i="22" s="1"/>
  <c r="M31" i="22"/>
  <c r="M34" i="22" s="1"/>
  <c r="E22" i="22"/>
  <c r="H22" i="22"/>
  <c r="I22" i="22"/>
  <c r="J22" i="22"/>
  <c r="K22" i="22"/>
  <c r="M22" i="22"/>
  <c r="G50" i="23" l="1"/>
  <c r="H36" i="22"/>
  <c r="D22" i="22"/>
  <c r="D36" i="22" s="1"/>
  <c r="C36" i="22"/>
  <c r="G36" i="22"/>
  <c r="J50" i="23"/>
  <c r="I36" i="22"/>
  <c r="E36" i="22"/>
  <c r="J36" i="22"/>
  <c r="E50" i="23"/>
  <c r="F36" i="22"/>
  <c r="N37" i="23"/>
  <c r="N38" i="23"/>
  <c r="N39" i="23"/>
  <c r="N41" i="23"/>
  <c r="N42" i="23"/>
  <c r="N43" i="23"/>
  <c r="N44" i="23"/>
  <c r="N35" i="23"/>
  <c r="J26" i="23"/>
  <c r="F26" i="23"/>
  <c r="N6" i="23"/>
  <c r="C6" i="7" s="1"/>
  <c r="N8" i="23"/>
  <c r="C8" i="7" s="1"/>
  <c r="N9" i="23"/>
  <c r="C9" i="7" s="1"/>
  <c r="N10" i="23"/>
  <c r="C10" i="7" s="1"/>
  <c r="N12" i="23"/>
  <c r="C12" i="7" s="1"/>
  <c r="N13" i="23"/>
  <c r="C13" i="7" s="1"/>
  <c r="N14" i="23"/>
  <c r="N15" i="23"/>
  <c r="N16" i="23"/>
  <c r="N17" i="23"/>
  <c r="N18" i="23"/>
  <c r="N19" i="23"/>
  <c r="N20" i="23"/>
  <c r="N21" i="23"/>
  <c r="N22" i="23"/>
  <c r="N23" i="23"/>
  <c r="N24" i="23"/>
  <c r="N25" i="23"/>
  <c r="N5" i="23"/>
  <c r="C5" i="7" s="1"/>
  <c r="C26" i="23"/>
  <c r="D26" i="23"/>
  <c r="E26" i="23"/>
  <c r="H26" i="23"/>
  <c r="I26" i="23"/>
  <c r="K26" i="23"/>
  <c r="L26" i="23"/>
  <c r="M26" i="23"/>
  <c r="N36" i="23" l="1"/>
  <c r="G26" i="23"/>
  <c r="N7" i="23"/>
  <c r="B26" i="23"/>
  <c r="N33" i="22"/>
  <c r="C35" i="6" s="1"/>
  <c r="B35" i="6" s="1"/>
  <c r="N32" i="22"/>
  <c r="N26" i="22"/>
  <c r="C29" i="6" s="1"/>
  <c r="B29" i="6" s="1"/>
  <c r="N27" i="22"/>
  <c r="C30" i="6" s="1"/>
  <c r="B30" i="6" s="1"/>
  <c r="N28" i="22"/>
  <c r="C31" i="6" s="1"/>
  <c r="B31" i="6" s="1"/>
  <c r="N30" i="22"/>
  <c r="C32" i="6" s="1"/>
  <c r="B32" i="6" s="1"/>
  <c r="N25" i="22"/>
  <c r="C28" i="6" s="1"/>
  <c r="N6" i="22"/>
  <c r="C6" i="6" s="1"/>
  <c r="N7" i="22"/>
  <c r="C7" i="6" s="1"/>
  <c r="N8" i="22"/>
  <c r="C8" i="6" s="1"/>
  <c r="N9" i="22"/>
  <c r="C9" i="6" s="1"/>
  <c r="C10" i="6"/>
  <c r="B10" i="6" s="1"/>
  <c r="N11" i="22"/>
  <c r="C11" i="6" s="1"/>
  <c r="N12" i="22"/>
  <c r="C12" i="6" s="1"/>
  <c r="N13" i="22"/>
  <c r="C13" i="6" s="1"/>
  <c r="N14" i="22"/>
  <c r="C14" i="6" s="1"/>
  <c r="N15" i="22"/>
  <c r="C15" i="6" s="1"/>
  <c r="N16" i="22"/>
  <c r="C16" i="6" s="1"/>
  <c r="N17" i="22"/>
  <c r="N18" i="22"/>
  <c r="C18" i="6" s="1"/>
  <c r="N19" i="22"/>
  <c r="C19" i="6" s="1"/>
  <c r="N20" i="22"/>
  <c r="C20" i="6" s="1"/>
  <c r="N21" i="22"/>
  <c r="N5" i="22"/>
  <c r="C5" i="6" s="1"/>
  <c r="B31" i="22"/>
  <c r="B34" i="22" s="1"/>
  <c r="E11" i="20"/>
  <c r="D22" i="20" s="1"/>
  <c r="E10" i="20"/>
  <c r="E9" i="20"/>
  <c r="E8" i="20"/>
  <c r="E7" i="20"/>
  <c r="E6" i="20"/>
  <c r="E5" i="20"/>
  <c r="G30" i="17"/>
  <c r="H30" i="17" s="1"/>
  <c r="F30" i="17"/>
  <c r="C30" i="17"/>
  <c r="F29" i="17"/>
  <c r="G29" i="17" s="1"/>
  <c r="H29" i="17" s="1"/>
  <c r="I29" i="17" s="1"/>
  <c r="C29" i="17"/>
  <c r="F28" i="17"/>
  <c r="G28" i="17" s="1"/>
  <c r="H28" i="17" s="1"/>
  <c r="J28" i="17" s="1"/>
  <c r="C28" i="17"/>
  <c r="F27" i="17"/>
  <c r="G27" i="17" s="1"/>
  <c r="H27" i="17" s="1"/>
  <c r="C27" i="17"/>
  <c r="G26" i="17"/>
  <c r="H26" i="17" s="1"/>
  <c r="F26" i="17"/>
  <c r="C26" i="17"/>
  <c r="F25" i="17"/>
  <c r="G25" i="17" s="1"/>
  <c r="H25" i="17" s="1"/>
  <c r="I25" i="17" s="1"/>
  <c r="C25" i="17"/>
  <c r="F24" i="17"/>
  <c r="G24" i="17" s="1"/>
  <c r="H24" i="17" s="1"/>
  <c r="J24" i="17" s="1"/>
  <c r="C24" i="17"/>
  <c r="G23" i="17"/>
  <c r="H23" i="17" s="1"/>
  <c r="F23" i="17"/>
  <c r="C23" i="17"/>
  <c r="F22" i="17"/>
  <c r="F21" i="17"/>
  <c r="F19" i="17"/>
  <c r="F18" i="17"/>
  <c r="F16" i="17"/>
  <c r="F15" i="17"/>
  <c r="F14" i="17"/>
  <c r="F13" i="17"/>
  <c r="F12" i="17"/>
  <c r="F11" i="17"/>
  <c r="F10" i="17"/>
  <c r="F9" i="17"/>
  <c r="F8" i="17"/>
  <c r="F7" i="17"/>
  <c r="E13" i="14"/>
  <c r="H6" i="14"/>
  <c r="H7" i="14" s="1"/>
  <c r="H5" i="14"/>
  <c r="E13" i="13"/>
  <c r="H6" i="13"/>
  <c r="H7" i="13" s="1"/>
  <c r="E13" i="11"/>
  <c r="G23" i="10"/>
  <c r="E13" i="10"/>
  <c r="B89" i="8"/>
  <c r="C88" i="8"/>
  <c r="C87" i="8"/>
  <c r="C86" i="8"/>
  <c r="C85" i="8"/>
  <c r="C84" i="8"/>
  <c r="C83" i="8"/>
  <c r="C82" i="8"/>
  <c r="C81" i="8"/>
  <c r="C80" i="8"/>
  <c r="C79" i="8"/>
  <c r="C78" i="8"/>
  <c r="C77" i="8"/>
  <c r="C76" i="8"/>
  <c r="C75" i="8"/>
  <c r="C74" i="8"/>
  <c r="B68" i="8"/>
  <c r="C67" i="8"/>
  <c r="C66" i="8"/>
  <c r="C65" i="8"/>
  <c r="C64" i="8"/>
  <c r="C63" i="8"/>
  <c r="C62" i="8"/>
  <c r="C61" i="8"/>
  <c r="C60" i="8"/>
  <c r="C59" i="8"/>
  <c r="C58" i="8"/>
  <c r="C57" i="8"/>
  <c r="C56" i="8"/>
  <c r="C55" i="8"/>
  <c r="C54" i="8"/>
  <c r="C53" i="8"/>
  <c r="B47" i="8"/>
  <c r="C46" i="8"/>
  <c r="C45" i="8"/>
  <c r="C44" i="8"/>
  <c r="C43" i="8"/>
  <c r="C42" i="8"/>
  <c r="C41" i="8"/>
  <c r="C40" i="8"/>
  <c r="C39" i="8"/>
  <c r="C38" i="8"/>
  <c r="C37" i="8"/>
  <c r="C36" i="8"/>
  <c r="C35" i="8"/>
  <c r="C34" i="8"/>
  <c r="C33" i="8"/>
  <c r="C32" i="8"/>
  <c r="C47" i="8" s="1"/>
  <c r="B20" i="8"/>
  <c r="C19" i="8"/>
  <c r="C18" i="8"/>
  <c r="C17" i="8"/>
  <c r="C16" i="8"/>
  <c r="C15" i="8"/>
  <c r="C14" i="8"/>
  <c r="C13" i="8"/>
  <c r="C12" i="8"/>
  <c r="C11" i="8"/>
  <c r="C10" i="8"/>
  <c r="C9" i="8"/>
  <c r="C8" i="8"/>
  <c r="C6" i="8"/>
  <c r="C5" i="8"/>
  <c r="B26" i="7"/>
  <c r="C25" i="7"/>
  <c r="C24" i="7"/>
  <c r="C23" i="7"/>
  <c r="C22" i="7"/>
  <c r="C21" i="7"/>
  <c r="C20" i="7"/>
  <c r="C19" i="7"/>
  <c r="C18" i="7"/>
  <c r="C17" i="7"/>
  <c r="C16" i="7"/>
  <c r="C15" i="7"/>
  <c r="C14" i="7"/>
  <c r="C34" i="4"/>
  <c r="B28" i="6" l="1"/>
  <c r="B19" i="6"/>
  <c r="B20" i="6"/>
  <c r="B16" i="6"/>
  <c r="B15" i="6"/>
  <c r="B13" i="6"/>
  <c r="B12" i="6"/>
  <c r="B7" i="6"/>
  <c r="B8" i="6"/>
  <c r="B6" i="6"/>
  <c r="B5" i="6"/>
  <c r="N34" i="22"/>
  <c r="B9" i="6"/>
  <c r="B14" i="6"/>
  <c r="B11" i="6"/>
  <c r="B18" i="6"/>
  <c r="C17" i="6"/>
  <c r="B17" i="6" s="1"/>
  <c r="I28" i="17"/>
  <c r="N26" i="23"/>
  <c r="C7" i="7"/>
  <c r="C26" i="7" s="1"/>
  <c r="E14" i="6" s="1"/>
  <c r="C34" i="6"/>
  <c r="C33" i="6"/>
  <c r="C20" i="8"/>
  <c r="C9" i="14" s="1"/>
  <c r="B22" i="22"/>
  <c r="N22" i="22"/>
  <c r="O9" i="22" s="1"/>
  <c r="N31" i="22"/>
  <c r="H10" i="13"/>
  <c r="H8" i="13"/>
  <c r="H9" i="13"/>
  <c r="H10" i="14"/>
  <c r="H8" i="14"/>
  <c r="H9" i="14"/>
  <c r="I27" i="17"/>
  <c r="J27" i="17"/>
  <c r="J29" i="17"/>
  <c r="J23" i="17"/>
  <c r="I23" i="17"/>
  <c r="J25" i="17"/>
  <c r="C68" i="8"/>
  <c r="C89" i="8"/>
  <c r="I24" i="17"/>
  <c r="J30" i="17"/>
  <c r="I30" i="17"/>
  <c r="J26" i="17"/>
  <c r="I26" i="17"/>
  <c r="D17" i="20"/>
  <c r="E13" i="6" l="1"/>
  <c r="E8" i="6"/>
  <c r="D28" i="6"/>
  <c r="E7" i="6"/>
  <c r="E16" i="6"/>
  <c r="E11" i="6"/>
  <c r="E19" i="6"/>
  <c r="E21" i="6"/>
  <c r="E17" i="6"/>
  <c r="E10" i="6"/>
  <c r="E24" i="6"/>
  <c r="E23" i="6"/>
  <c r="E22" i="6"/>
  <c r="O29" i="22"/>
  <c r="E6" i="6"/>
  <c r="E15" i="6"/>
  <c r="O40" i="23"/>
  <c r="O49" i="23"/>
  <c r="O46" i="23"/>
  <c r="E5" i="6"/>
  <c r="E12" i="6"/>
  <c r="E20" i="6"/>
  <c r="E18" i="6"/>
  <c r="E9" i="6"/>
  <c r="B36" i="22"/>
  <c r="O47" i="23"/>
  <c r="O45" i="23"/>
  <c r="O43" i="23"/>
  <c r="O44" i="23"/>
  <c r="O35" i="23"/>
  <c r="O42" i="23"/>
  <c r="O36" i="23"/>
  <c r="O37" i="23"/>
  <c r="O38" i="23"/>
  <c r="O39" i="23"/>
  <c r="O41" i="23"/>
  <c r="O17" i="22"/>
  <c r="D22" i="7"/>
  <c r="D29" i="6"/>
  <c r="D6" i="7"/>
  <c r="D14" i="7"/>
  <c r="D20" i="7"/>
  <c r="O26" i="22"/>
  <c r="C5" i="10"/>
  <c r="O28" i="22"/>
  <c r="O27" i="22"/>
  <c r="D30" i="6"/>
  <c r="D8" i="7"/>
  <c r="D12" i="7"/>
  <c r="D24" i="7"/>
  <c r="C36" i="6"/>
  <c r="D36" i="6" s="1"/>
  <c r="B34" i="6"/>
  <c r="B36" i="6" s="1"/>
  <c r="B33" i="6"/>
  <c r="H11" i="13"/>
  <c r="H13" i="13" s="1"/>
  <c r="C9" i="11"/>
  <c r="C9" i="13"/>
  <c r="C9" i="10"/>
  <c r="O32" i="22"/>
  <c r="O25" i="22"/>
  <c r="O33" i="22"/>
  <c r="O30" i="22"/>
  <c r="O34" i="22"/>
  <c r="O11" i="23"/>
  <c r="O10" i="23"/>
  <c r="O6" i="23"/>
  <c r="O9" i="23"/>
  <c r="O8" i="23"/>
  <c r="O5" i="23"/>
  <c r="O7" i="23"/>
  <c r="O5" i="22"/>
  <c r="O19" i="22"/>
  <c r="O12" i="22"/>
  <c r="O22" i="22"/>
  <c r="O21" i="22"/>
  <c r="O20" i="22"/>
  <c r="O18" i="22"/>
  <c r="O14" i="22"/>
  <c r="O7" i="22"/>
  <c r="O6" i="22"/>
  <c r="O11" i="22"/>
  <c r="O10" i="22"/>
  <c r="O13" i="22"/>
  <c r="O15" i="22"/>
  <c r="O8" i="22"/>
  <c r="O16" i="22"/>
  <c r="C5" i="11"/>
  <c r="D26" i="7"/>
  <c r="D35" i="6"/>
  <c r="D34" i="6"/>
  <c r="D23" i="7"/>
  <c r="D7" i="7"/>
  <c r="D21" i="7"/>
  <c r="D5" i="7"/>
  <c r="D25" i="7"/>
  <c r="C5" i="14"/>
  <c r="C5" i="13"/>
  <c r="D17" i="7"/>
  <c r="D9" i="7"/>
  <c r="D11" i="7"/>
  <c r="D31" i="6"/>
  <c r="D15" i="7"/>
  <c r="D19" i="7"/>
  <c r="D13" i="7"/>
  <c r="D32" i="6"/>
  <c r="D18" i="7"/>
  <c r="C6" i="13"/>
  <c r="C6" i="10"/>
  <c r="D10" i="7"/>
  <c r="D16" i="7"/>
  <c r="H11" i="14"/>
  <c r="G11" i="14" s="1"/>
  <c r="G13" i="14" s="1"/>
  <c r="C10" i="13" l="1"/>
  <c r="C10" i="10"/>
  <c r="C10" i="14"/>
  <c r="C10" i="11"/>
  <c r="D33" i="6"/>
  <c r="G11" i="13"/>
  <c r="G13" i="13" s="1"/>
  <c r="O31" i="22"/>
  <c r="D6" i="10"/>
  <c r="D6" i="13"/>
  <c r="D6" i="14"/>
  <c r="F5" i="14"/>
  <c r="C7" i="14"/>
  <c r="C7" i="11"/>
  <c r="F5" i="11"/>
  <c r="D6" i="11"/>
  <c r="C7" i="13"/>
  <c r="F5" i="13"/>
  <c r="H13" i="14"/>
  <c r="F5" i="10"/>
  <c r="C7" i="10"/>
  <c r="D8" i="10" l="1"/>
  <c r="D10" i="10"/>
  <c r="D9" i="10"/>
  <c r="F6" i="10"/>
  <c r="F7" i="10" s="1"/>
  <c r="F6" i="11"/>
  <c r="F7" i="11" s="1"/>
  <c r="D8" i="11"/>
  <c r="D9" i="11"/>
  <c r="D10" i="11"/>
  <c r="F6" i="13"/>
  <c r="F7" i="13" s="1"/>
  <c r="D8" i="14"/>
  <c r="D9" i="14"/>
  <c r="D10" i="14"/>
  <c r="D8" i="13"/>
  <c r="D10" i="13"/>
  <c r="D9" i="13"/>
  <c r="F6" i="14"/>
  <c r="F7" i="14" s="1"/>
  <c r="F10" i="13" l="1"/>
  <c r="F8" i="13"/>
  <c r="F11" i="13"/>
  <c r="F9" i="13"/>
  <c r="F10" i="14"/>
  <c r="F8" i="14"/>
  <c r="F11" i="14"/>
  <c r="F9" i="14"/>
  <c r="F10" i="10"/>
  <c r="F9" i="10"/>
  <c r="F11" i="10"/>
  <c r="F8" i="10"/>
  <c r="F11" i="11"/>
  <c r="F8" i="11"/>
  <c r="F10" i="11"/>
  <c r="F9" i="11"/>
  <c r="F13" i="11" l="1"/>
  <c r="F13" i="10"/>
  <c r="F13" i="14"/>
  <c r="F13" i="13"/>
  <c r="B25" i="6"/>
  <c r="C21" i="6"/>
  <c r="C24" i="6"/>
  <c r="C22" i="6"/>
  <c r="C23" i="6"/>
  <c r="C25" i="6" l="1"/>
  <c r="E25" i="6" s="1"/>
  <c r="D20" i="6" l="1"/>
  <c r="D13" i="6"/>
  <c r="D9" i="6"/>
  <c r="C11" i="10"/>
  <c r="C11" i="13"/>
  <c r="D5" i="6"/>
  <c r="D6" i="6"/>
  <c r="D21" i="6"/>
  <c r="D10" i="6"/>
  <c r="B17" i="19"/>
  <c r="D18" i="6"/>
  <c r="D12" i="6"/>
  <c r="D22" i="6"/>
  <c r="C11" i="14"/>
  <c r="D14" i="6"/>
  <c r="D7" i="6"/>
  <c r="D25" i="6"/>
  <c r="D16" i="6"/>
  <c r="D8" i="6"/>
  <c r="D23" i="6"/>
  <c r="D19" i="6"/>
  <c r="C11" i="11"/>
  <c r="D15" i="6"/>
  <c r="D17" i="6"/>
  <c r="D11" i="6"/>
  <c r="D24" i="6"/>
  <c r="C13" i="11" l="1"/>
  <c r="D11" i="11"/>
  <c r="D13" i="11" s="1"/>
  <c r="C13" i="14"/>
  <c r="D11" i="14"/>
  <c r="D11" i="10"/>
  <c r="D13" i="10" s="1"/>
  <c r="C13" i="10"/>
  <c r="B27" i="19"/>
  <c r="B30" i="19" s="1"/>
  <c r="D18" i="20" s="1"/>
  <c r="D19" i="20" s="1"/>
  <c r="B20" i="19"/>
  <c r="B40" i="19"/>
  <c r="B23" i="19"/>
  <c r="D11" i="13"/>
  <c r="C13" i="13"/>
  <c r="I11" i="14" l="1"/>
  <c r="D13" i="14"/>
  <c r="D13" i="13"/>
  <c r="I11" i="13"/>
  <c r="B34" i="19"/>
  <c r="D23" i="20"/>
  <c r="D24" i="20" s="1"/>
  <c r="B37" i="19"/>
  <c r="G13" i="17"/>
  <c r="H13" i="17" s="1"/>
  <c r="G16" i="17"/>
  <c r="H16" i="17" s="1"/>
  <c r="C22" i="17"/>
  <c r="G22" i="17"/>
  <c r="H22" i="17" s="1"/>
  <c r="C9" i="17"/>
  <c r="G9" i="17"/>
  <c r="H9" i="17" s="1"/>
  <c r="C19" i="17"/>
  <c r="G19" i="17"/>
  <c r="H19" i="17" s="1"/>
  <c r="G8" i="17"/>
  <c r="H8" i="17" s="1"/>
  <c r="G11" i="17"/>
  <c r="G14" i="17"/>
  <c r="H11" i="17"/>
  <c r="J11" i="17" s="1"/>
  <c r="I11" i="17"/>
  <c r="G17" i="17"/>
  <c r="H17" i="17" s="1"/>
  <c r="G7" i="17"/>
  <c r="H7" i="17" s="1"/>
  <c r="H21" i="17"/>
  <c r="I21" i="17" s="1"/>
  <c r="J21" i="17"/>
  <c r="H20" i="17"/>
  <c r="J20" i="17" s="1"/>
  <c r="C8" i="17"/>
  <c r="C20" i="17"/>
  <c r="G20" i="17"/>
  <c r="C13" i="17"/>
  <c r="C17" i="17"/>
  <c r="C7" i="17"/>
  <c r="B31" i="17"/>
  <c r="C21" i="17"/>
  <c r="G21" i="17"/>
  <c r="C11" i="17"/>
  <c r="C15" i="17"/>
  <c r="G15" i="17"/>
  <c r="H15" i="17" s="1"/>
  <c r="C16" i="17"/>
  <c r="C14" i="17"/>
  <c r="H14" i="17"/>
  <c r="J14" i="17" s="1"/>
  <c r="I14" i="17"/>
  <c r="C10" i="17"/>
  <c r="G10" i="17"/>
  <c r="H10" i="17" s="1"/>
  <c r="C12" i="17"/>
  <c r="G12" i="17"/>
  <c r="H12" i="17" s="1"/>
  <c r="J12" i="17" s="1"/>
  <c r="C18" i="17"/>
  <c r="G18" i="17"/>
  <c r="H18" i="17" s="1"/>
  <c r="I20" i="17" l="1"/>
  <c r="J13" i="17"/>
  <c r="I13" i="17"/>
  <c r="J10" i="17"/>
  <c r="I10" i="17"/>
  <c r="D21" i="17"/>
  <c r="D20" i="17"/>
  <c r="D19" i="17"/>
  <c r="C31" i="17"/>
  <c r="D30" i="17" s="1"/>
  <c r="G31" i="17"/>
  <c r="J9" i="17"/>
  <c r="I9" i="17"/>
  <c r="J18" i="17"/>
  <c r="I18" i="17"/>
  <c r="D9" i="17"/>
  <c r="I22" i="17"/>
  <c r="J22" i="17"/>
  <c r="I15" i="17"/>
  <c r="J15" i="17"/>
  <c r="D22" i="17"/>
  <c r="D12" i="17"/>
  <c r="D15" i="17"/>
  <c r="D13" i="17"/>
  <c r="J8" i="17"/>
  <c r="I8" i="17"/>
  <c r="I16" i="17"/>
  <c r="J16" i="17"/>
  <c r="J17" i="17"/>
  <c r="I17" i="17"/>
  <c r="D25" i="17"/>
  <c r="D29" i="17"/>
  <c r="D31" i="17"/>
  <c r="D16" i="17"/>
  <c r="D23" i="17"/>
  <c r="D24" i="17"/>
  <c r="D8" i="17"/>
  <c r="D27" i="17"/>
  <c r="D11" i="17"/>
  <c r="D17" i="17"/>
  <c r="D18" i="17"/>
  <c r="H31" i="17"/>
  <c r="J7" i="17"/>
  <c r="I7" i="17"/>
  <c r="D10" i="17"/>
  <c r="J19" i="17"/>
  <c r="I19" i="17"/>
  <c r="I12" i="17"/>
  <c r="D7" i="17"/>
  <c r="D14" i="17" l="1"/>
  <c r="D28" i="17"/>
  <c r="D26" i="17"/>
  <c r="I31" i="17"/>
  <c r="J31" i="17"/>
  <c r="C50" i="23"/>
  <c r="N48" i="23"/>
  <c r="O48" i="23" l="1"/>
  <c r="O50" i="23" s="1"/>
  <c r="N50"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Vert</author>
  </authors>
  <commentList>
    <comment ref="A9" authorId="0" shapeId="0" xr:uid="{300D7114-0416-4CE0-9700-90ED49350B62}">
      <text>
        <r>
          <rPr>
            <b/>
            <sz val="9"/>
            <color indexed="81"/>
            <rFont val="Tahoma"/>
            <family val="2"/>
          </rPr>
          <t>Maria Vert:</t>
        </r>
        <r>
          <rPr>
            <sz val="9"/>
            <color indexed="81"/>
            <rFont val="Tahoma"/>
            <family val="2"/>
          </rPr>
          <t xml:space="preserve">
Holded+canva
temporalmt calendly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Maria Vert</author>
  </authors>
  <commentList>
    <comment ref="A9" authorId="0" shapeId="0" xr:uid="{BC658494-84CE-4DBE-8035-1C8A8651CBD8}">
      <text>
        <r>
          <rPr>
            <b/>
            <sz val="9"/>
            <color indexed="81"/>
            <rFont val="Tahoma"/>
            <family val="2"/>
          </rPr>
          <t>Maria Vert:</t>
        </r>
        <r>
          <rPr>
            <sz val="9"/>
            <color indexed="81"/>
            <rFont val="Tahoma"/>
            <family val="2"/>
          </rPr>
          <t xml:space="preserve">
Holded+canva
</t>
        </r>
      </text>
    </comment>
    <comment ref="B9" authorId="0" shapeId="0" xr:uid="{CE44300C-4C2C-4839-AAC8-F3D8B8861323}">
      <text>
        <r>
          <rPr>
            <b/>
            <sz val="9"/>
            <color indexed="81"/>
            <rFont val="Tahoma"/>
            <charset val="1"/>
          </rPr>
          <t>Maria Vert:</t>
        </r>
        <r>
          <rPr>
            <sz val="9"/>
            <color indexed="81"/>
            <rFont val="Tahoma"/>
            <charset val="1"/>
          </rPr>
          <t xml:space="preserve">
Holded, Outgrow, Isra Bravo, Airtable</t>
        </r>
      </text>
    </comment>
    <comment ref="C9" authorId="0" shapeId="0" xr:uid="{508EBCE3-1999-4A85-8CA0-C7CF88A13327}">
      <text>
        <r>
          <rPr>
            <b/>
            <sz val="9"/>
            <color indexed="81"/>
            <rFont val="Tahoma"/>
            <charset val="1"/>
          </rPr>
          <t>Maria Vert:</t>
        </r>
        <r>
          <rPr>
            <sz val="9"/>
            <color indexed="81"/>
            <rFont val="Tahoma"/>
            <charset val="1"/>
          </rPr>
          <t xml:space="preserve">
Holded, Outgrow,  Airtable,  he tret el Isra Bravo
</t>
        </r>
      </text>
    </comment>
    <comment ref="D9" authorId="0" shapeId="0" xr:uid="{B30253F2-333E-49E7-A54E-90EC1F3820B6}">
      <text>
        <r>
          <rPr>
            <b/>
            <sz val="9"/>
            <color indexed="81"/>
            <rFont val="Tahoma"/>
            <charset val="1"/>
          </rPr>
          <t>Maria Vert:</t>
        </r>
        <r>
          <rPr>
            <sz val="9"/>
            <color indexed="81"/>
            <rFont val="Tahoma"/>
            <charset val="1"/>
          </rPr>
          <t xml:space="preserve">
outgrow (ultim mes) +holded+airtable+ openAi
</t>
        </r>
      </text>
    </comment>
    <comment ref="E9" authorId="0" shapeId="0" xr:uid="{E1EA55FA-4BFE-4478-8DF3-7C0AE357BCFD}">
      <text>
        <r>
          <rPr>
            <b/>
            <sz val="9"/>
            <color indexed="81"/>
            <rFont val="Tahoma"/>
            <charset val="1"/>
          </rPr>
          <t>Maria Vert:</t>
        </r>
        <r>
          <rPr>
            <sz val="9"/>
            <color indexed="81"/>
            <rFont val="Tahoma"/>
            <charset val="1"/>
          </rPr>
          <t xml:space="preserve">
holded+airtable+ openAi
</t>
        </r>
      </text>
    </comment>
    <comment ref="P9" authorId="0" shapeId="0" xr:uid="{06545600-DB72-440A-8229-16DBBC748B25}">
      <text>
        <r>
          <rPr>
            <b/>
            <sz val="9"/>
            <color indexed="81"/>
            <rFont val="Tahoma"/>
            <family val="2"/>
          </rPr>
          <t>Maria Vert:</t>
        </r>
        <r>
          <rPr>
            <sz val="9"/>
            <color indexed="81"/>
            <rFont val="Tahoma"/>
            <family val="2"/>
          </rPr>
          <t xml:space="preserve">
Holded+canva
</t>
        </r>
      </text>
    </comment>
    <comment ref="B11" authorId="0" shapeId="0" xr:uid="{380D2240-D730-457C-BEE9-7B3B0F72AE21}">
      <text>
        <r>
          <rPr>
            <b/>
            <sz val="9"/>
            <color indexed="81"/>
            <rFont val="Tahoma"/>
            <charset val="1"/>
          </rPr>
          <t>Maria Vert:</t>
        </r>
        <r>
          <rPr>
            <sz val="9"/>
            <color indexed="81"/>
            <rFont val="Tahoma"/>
            <charset val="1"/>
          </rPr>
          <t xml:space="preserve">
Outgrow
</t>
        </r>
      </text>
    </comment>
    <comment ref="C11" authorId="0" shapeId="0" xr:uid="{CB573BDF-9E4F-4CD6-8561-2A008B4C6313}">
      <text>
        <r>
          <rPr>
            <b/>
            <sz val="9"/>
            <color indexed="81"/>
            <rFont val="Tahoma"/>
            <charset val="1"/>
          </rPr>
          <t>Maria Vert:</t>
        </r>
        <r>
          <rPr>
            <sz val="9"/>
            <color indexed="81"/>
            <rFont val="Tahoma"/>
            <charset val="1"/>
          </rPr>
          <t xml:space="preserve">
madrigal+fira sitges+ fira lloret +lucia se casa, 2n pagamt
</t>
        </r>
      </text>
    </comment>
    <comment ref="D11" authorId="0" shapeId="0" xr:uid="{57F4D106-D8D2-4155-A8E1-6727F0277109}">
      <text>
        <r>
          <rPr>
            <b/>
            <sz val="9"/>
            <color indexed="81"/>
            <rFont val="Tahoma"/>
            <charset val="1"/>
          </rPr>
          <t>Maria Vert:</t>
        </r>
        <r>
          <rPr>
            <sz val="9"/>
            <color indexed="81"/>
            <rFont val="Tahoma"/>
            <charset val="1"/>
          </rPr>
          <t xml:space="preserve">
hotel fira lloret+ madrigal
</t>
        </r>
      </text>
    </comment>
    <comment ref="G13" authorId="0" shapeId="0" xr:uid="{99BD6F54-7079-45A2-B248-FB32E84A75E7}">
      <text>
        <r>
          <rPr>
            <b/>
            <sz val="9"/>
            <color indexed="81"/>
            <rFont val="Tahoma"/>
            <charset val="1"/>
          </rPr>
          <t>Maria Vert:</t>
        </r>
        <r>
          <rPr>
            <sz val="9"/>
            <color indexed="81"/>
            <rFont val="Tahoma"/>
            <charset val="1"/>
          </rPr>
          <t xml:space="preserve">
taula 250 + resta prestatgeries taller</t>
        </r>
      </text>
    </comment>
    <comment ref="F14" authorId="0" shapeId="0" xr:uid="{A17A9921-6EED-4F57-B4F1-940318E01305}">
      <text>
        <r>
          <rPr>
            <b/>
            <sz val="9"/>
            <color indexed="81"/>
            <rFont val="Tahoma"/>
            <charset val="1"/>
          </rPr>
          <t>Maria Vert:</t>
        </r>
        <r>
          <rPr>
            <sz val="9"/>
            <color indexed="81"/>
            <rFont val="Tahoma"/>
            <charset val="1"/>
          </rPr>
          <t xml:space="preserve">
Canvi activitat
</t>
        </r>
      </text>
    </comment>
    <comment ref="C16" authorId="0" shapeId="0" xr:uid="{050BE8D0-680E-49A0-B2D9-5FB75FDA7115}">
      <text>
        <r>
          <rPr>
            <b/>
            <sz val="9"/>
            <color indexed="81"/>
            <rFont val="Tahoma"/>
            <charset val="1"/>
          </rPr>
          <t>Maria Vert:</t>
        </r>
        <r>
          <rPr>
            <sz val="9"/>
            <color indexed="81"/>
            <rFont val="Tahoma"/>
            <charset val="1"/>
          </rPr>
          <t xml:space="preserve">
Amy Porterfield</t>
        </r>
      </text>
    </comment>
    <comment ref="D16" authorId="0" shapeId="0" xr:uid="{0D2295B1-F2B5-467B-A1A3-19CB25F4F62F}">
      <text>
        <r>
          <rPr>
            <b/>
            <sz val="9"/>
            <color indexed="81"/>
            <rFont val="Tahoma"/>
            <charset val="1"/>
          </rPr>
          <t>Maria Vert:</t>
        </r>
        <r>
          <rPr>
            <sz val="9"/>
            <color indexed="81"/>
            <rFont val="Tahoma"/>
            <charset val="1"/>
          </rPr>
          <t xml:space="preserve">
Amy Porterfield +Snegova</t>
        </r>
      </text>
    </comment>
    <comment ref="E16" authorId="0" shapeId="0" xr:uid="{AD927B48-A583-4E29-8B37-86BDF528F56E}">
      <text>
        <r>
          <rPr>
            <b/>
            <sz val="9"/>
            <color indexed="81"/>
            <rFont val="Tahoma"/>
            <charset val="1"/>
          </rPr>
          <t>Maria Vert:</t>
        </r>
        <r>
          <rPr>
            <sz val="9"/>
            <color indexed="81"/>
            <rFont val="Tahoma"/>
            <charset val="1"/>
          </rPr>
          <t xml:space="preserve">
Amy Porterf+lilttle pressed flower
</t>
        </r>
      </text>
    </comment>
    <comment ref="F16" authorId="0" shapeId="0" xr:uid="{0AC6812B-6E81-47FA-99E8-1E21681D152E}">
      <text>
        <r>
          <rPr>
            <b/>
            <sz val="9"/>
            <color indexed="81"/>
            <rFont val="Tahoma"/>
            <charset val="1"/>
          </rPr>
          <t>Maria Vert:</t>
        </r>
        <r>
          <rPr>
            <sz val="9"/>
            <color indexed="81"/>
            <rFont val="Tahoma"/>
            <charset val="1"/>
          </rPr>
          <t xml:space="preserve">
Amy Porterfield</t>
        </r>
      </text>
    </comment>
    <comment ref="G16" authorId="0" shapeId="0" xr:uid="{F28CFB9C-E00A-460F-BB28-7FBB1C2F619B}">
      <text>
        <r>
          <rPr>
            <b/>
            <sz val="9"/>
            <color indexed="81"/>
            <rFont val="Tahoma"/>
            <charset val="1"/>
          </rPr>
          <t>Maria Vert:</t>
        </r>
        <r>
          <rPr>
            <sz val="9"/>
            <color indexed="81"/>
            <rFont val="Tahoma"/>
            <charset val="1"/>
          </rPr>
          <t xml:space="preserve">
Pausar</t>
        </r>
      </text>
    </comment>
    <comment ref="A17" authorId="0" shapeId="0" xr:uid="{0B0432B5-D928-4C46-B3C2-2BC353CF308A}">
      <text>
        <r>
          <rPr>
            <b/>
            <sz val="9"/>
            <color indexed="81"/>
            <rFont val="Tahoma"/>
            <charset val="1"/>
          </rPr>
          <t>Maria Vert:</t>
        </r>
        <r>
          <rPr>
            <sz val="9"/>
            <color indexed="81"/>
            <rFont val="Tahoma"/>
            <charset val="1"/>
          </rPr>
          <t xml:space="preserve">
sum up +Stripe
</t>
        </r>
      </text>
    </comment>
    <comment ref="B17" authorId="0" shapeId="0" xr:uid="{98C7F3E3-5B6C-40C1-8518-E691573745E9}">
      <text>
        <r>
          <rPr>
            <b/>
            <sz val="9"/>
            <color indexed="81"/>
            <rFont val="Tahoma"/>
            <charset val="1"/>
          </rPr>
          <t>Maria Vert:</t>
        </r>
        <r>
          <rPr>
            <sz val="9"/>
            <color indexed="81"/>
            <rFont val="Tahoma"/>
            <charset val="1"/>
          </rPr>
          <t xml:space="preserve">
devolucio de comissions CaixaBank</t>
        </r>
      </text>
    </comment>
    <comment ref="C17" authorId="0" shapeId="0" xr:uid="{1B21AAE2-B025-41BB-BC5A-4A56B8938616}">
      <text>
        <r>
          <rPr>
            <b/>
            <sz val="9"/>
            <color indexed="81"/>
            <rFont val="Tahoma"/>
            <charset val="1"/>
          </rPr>
          <t>Maria Vert:</t>
        </r>
        <r>
          <rPr>
            <sz val="9"/>
            <color indexed="81"/>
            <rFont val="Tahoma"/>
            <charset val="1"/>
          </rPr>
          <t xml:space="preserve">
Sum up+ Stripe
</t>
        </r>
      </text>
    </comment>
    <comment ref="D17" authorId="0" shapeId="0" xr:uid="{A5455C51-0EA2-4213-8DEE-119C5E39D4FF}">
      <text>
        <r>
          <rPr>
            <b/>
            <sz val="9"/>
            <color indexed="81"/>
            <rFont val="Tahoma"/>
            <charset val="1"/>
          </rPr>
          <t>Maria Vert:</t>
        </r>
        <r>
          <rPr>
            <sz val="9"/>
            <color indexed="81"/>
            <rFont val="Tahoma"/>
            <charset val="1"/>
          </rPr>
          <t xml:space="preserve">
Sum up+ Stripe
</t>
        </r>
      </text>
    </comment>
    <comment ref="P17" authorId="0" shapeId="0" xr:uid="{6DE25BE5-A80A-45D7-86E5-1A17CF1C8C7F}">
      <text>
        <r>
          <rPr>
            <b/>
            <sz val="9"/>
            <color indexed="81"/>
            <rFont val="Tahoma"/>
            <charset val="1"/>
          </rPr>
          <t>Maria Vert:</t>
        </r>
        <r>
          <rPr>
            <sz val="9"/>
            <color indexed="81"/>
            <rFont val="Tahoma"/>
            <charset val="1"/>
          </rPr>
          <t xml:space="preserve">
sum up +Stripe
</t>
        </r>
      </text>
    </comment>
    <comment ref="B18" authorId="0" shapeId="0" xr:uid="{705ADFE5-80BF-4ECA-A5FD-D9B3CDCE080A}">
      <text>
        <r>
          <rPr>
            <b/>
            <sz val="9"/>
            <color indexed="81"/>
            <rFont val="Tahoma"/>
            <charset val="1"/>
          </rPr>
          <t>Maria Vert:</t>
        </r>
        <r>
          <rPr>
            <sz val="9"/>
            <color indexed="81"/>
            <rFont val="Tahoma"/>
            <charset val="1"/>
          </rPr>
          <t xml:space="preserve">
automatizacion Elena Domingo</t>
        </r>
      </text>
    </comment>
    <comment ref="C18" authorId="0" shapeId="0" xr:uid="{2D87533C-1AEF-426C-897A-6237D2CEAF24}">
      <text>
        <r>
          <rPr>
            <b/>
            <sz val="9"/>
            <color indexed="81"/>
            <rFont val="Tahoma"/>
            <charset val="1"/>
          </rPr>
          <t>Maria Vert:</t>
        </r>
        <r>
          <rPr>
            <sz val="9"/>
            <color indexed="81"/>
            <rFont val="Tahoma"/>
            <charset val="1"/>
          </rPr>
          <t xml:space="preserve">
Quota Make automatitzacio</t>
        </r>
      </text>
    </comment>
    <comment ref="E18" authorId="0" shapeId="0" xr:uid="{B774B84E-0876-4DE8-A6C4-C0D4920DE9FF}">
      <text>
        <r>
          <rPr>
            <b/>
            <sz val="9"/>
            <color indexed="81"/>
            <rFont val="Tahoma"/>
            <charset val="1"/>
          </rPr>
          <t>Maria Vert:</t>
        </r>
        <r>
          <rPr>
            <sz val="9"/>
            <color indexed="81"/>
            <rFont val="Tahoma"/>
            <charset val="1"/>
          </rPr>
          <t xml:space="preserve">
web- webos con jamon
</t>
        </r>
      </text>
    </comment>
    <comment ref="G18" authorId="0" shapeId="0" xr:uid="{1600FC11-75EC-4672-B917-69C57058B2F9}">
      <text>
        <r>
          <rPr>
            <b/>
            <sz val="9"/>
            <color indexed="81"/>
            <rFont val="Tahoma"/>
            <charset val="1"/>
          </rPr>
          <t>Maria Vert:</t>
        </r>
        <r>
          <rPr>
            <sz val="9"/>
            <color indexed="81"/>
            <rFont val="Tahoma"/>
            <charset val="1"/>
          </rPr>
          <t xml:space="preserve">
Zoom anual + Elena automat Florece+ openai (18)
</t>
        </r>
      </text>
    </comment>
    <comment ref="B20" authorId="0" shapeId="0" xr:uid="{D2392DB1-F48E-49F1-A7BE-7F6C67930DF2}">
      <text>
        <r>
          <rPr>
            <b/>
            <sz val="9"/>
            <color indexed="81"/>
            <rFont val="Tahoma"/>
            <charset val="1"/>
          </rPr>
          <t>Maria Vert:</t>
        </r>
        <r>
          <rPr>
            <sz val="9"/>
            <color indexed="81"/>
            <rFont val="Tahoma"/>
            <charset val="1"/>
          </rPr>
          <t xml:space="preserve">
Alquiler espacio para talleres</t>
        </r>
      </text>
    </comment>
    <comment ref="C20" authorId="0" shapeId="0" xr:uid="{CC81643D-C7E2-4FFB-BC6F-BF20004949A8}">
      <text>
        <r>
          <rPr>
            <b/>
            <sz val="9"/>
            <color indexed="81"/>
            <rFont val="Tahoma"/>
            <charset val="1"/>
          </rPr>
          <t>Maria Vert:</t>
        </r>
        <r>
          <rPr>
            <sz val="9"/>
            <color indexed="81"/>
            <rFont val="Tahoma"/>
            <charset val="1"/>
          </rPr>
          <t xml:space="preserve">
Amazon Seller + material beneficiencia
</t>
        </r>
      </text>
    </comment>
    <comment ref="D20" authorId="0" shapeId="0" xr:uid="{C7173D69-360B-4E5B-A633-E2C5C225C981}">
      <text>
        <r>
          <rPr>
            <b/>
            <sz val="9"/>
            <color indexed="81"/>
            <rFont val="Tahoma"/>
            <charset val="1"/>
          </rPr>
          <t xml:space="preserve">Maria Vert:
combustible fira lloret+restaruant fira lloret+licencia st jordi 2024
</t>
        </r>
      </text>
    </comment>
    <comment ref="E20" authorId="0" shapeId="0" xr:uid="{9E9783C0-8169-494B-A016-2BCF909BD75B}">
      <text>
        <r>
          <rPr>
            <b/>
            <sz val="9"/>
            <color indexed="81"/>
            <rFont val="Tahoma"/>
            <charset val="1"/>
          </rPr>
          <t>Maria Vert:</t>
        </r>
        <r>
          <rPr>
            <sz val="9"/>
            <color indexed="81"/>
            <rFont val="Tahoma"/>
            <charset val="1"/>
          </rPr>
          <t xml:space="preserve">
Parada St Jordi, ajuntmt
</t>
        </r>
      </text>
    </comment>
    <comment ref="G20" authorId="0" shapeId="0" xr:uid="{F6D7607C-BEB8-4557-984E-8AD13521CFF9}">
      <text>
        <r>
          <rPr>
            <b/>
            <sz val="9"/>
            <color indexed="81"/>
            <rFont val="Tahoma"/>
            <charset val="1"/>
          </rPr>
          <t>Maria Vert:</t>
        </r>
        <r>
          <rPr>
            <sz val="9"/>
            <color indexed="81"/>
            <rFont val="Tahoma"/>
            <charset val="1"/>
          </rPr>
          <t xml:space="preserve">
Auditoria GRDP</t>
        </r>
      </text>
    </comment>
    <comment ref="C21" authorId="0" shapeId="0" xr:uid="{6FF217F6-7EEB-4C24-8AAB-D53B74E1B80A}">
      <text>
        <r>
          <rPr>
            <b/>
            <sz val="9"/>
            <color indexed="81"/>
            <rFont val="Tahoma"/>
            <charset val="1"/>
          </rPr>
          <t>Maria Vert:</t>
        </r>
        <r>
          <rPr>
            <sz val="9"/>
            <color indexed="81"/>
            <rFont val="Tahoma"/>
            <charset val="1"/>
          </rPr>
          <t xml:space="preserve">
reclamat x error doble fra de Almudena</t>
        </r>
      </text>
    </comment>
    <comment ref="D21" authorId="0" shapeId="0" xr:uid="{38EFC908-FFAD-4164-BB95-8A0FED573593}">
      <text>
        <r>
          <rPr>
            <b/>
            <sz val="9"/>
            <color indexed="81"/>
            <rFont val="Tahoma"/>
            <charset val="1"/>
          </rPr>
          <t>Maria Vert:</t>
        </r>
        <r>
          <rPr>
            <sz val="9"/>
            <color indexed="81"/>
            <rFont val="Tahoma"/>
            <charset val="1"/>
          </rPr>
          <t xml:space="preserve">
Almudena
</t>
        </r>
      </text>
    </comment>
    <comment ref="E21" authorId="0" shapeId="0" xr:uid="{381EBEB8-8174-495D-92F9-25B070A99B9B}">
      <text>
        <r>
          <rPr>
            <b/>
            <sz val="9"/>
            <color indexed="81"/>
            <rFont val="Tahoma"/>
            <charset val="1"/>
          </rPr>
          <t>Maria Vert:</t>
        </r>
        <r>
          <rPr>
            <sz val="9"/>
            <color indexed="81"/>
            <rFont val="Tahoma"/>
            <charset val="1"/>
          </rPr>
          <t xml:space="preserve">
Almudena
</t>
        </r>
      </text>
    </comment>
    <comment ref="G25" authorId="0" shapeId="0" xr:uid="{036349F4-D6E1-43DE-81D1-AAF6D938FCCC}">
      <text>
        <r>
          <rPr>
            <b/>
            <sz val="9"/>
            <color indexed="81"/>
            <rFont val="Tahoma"/>
            <charset val="1"/>
          </rPr>
          <t>Maria Vert:</t>
        </r>
        <r>
          <rPr>
            <sz val="9"/>
            <color indexed="81"/>
            <rFont val="Tahoma"/>
            <charset val="1"/>
          </rPr>
          <t xml:space="preserve">
incloent Florece= aprox 220€ x 11pax= 2400€
</t>
        </r>
      </text>
    </comment>
    <comment ref="G27" authorId="0" shapeId="0" xr:uid="{C9F6D5F5-A515-42CF-80B9-347F0FB7D9C5}">
      <text>
        <r>
          <rPr>
            <b/>
            <sz val="9"/>
            <color indexed="81"/>
            <rFont val="Tahoma"/>
            <charset val="1"/>
          </rPr>
          <t>Maria Vert:</t>
        </r>
        <r>
          <rPr>
            <sz val="9"/>
            <color indexed="81"/>
            <rFont val="Tahoma"/>
            <charset val="1"/>
          </rPr>
          <t xml:space="preserve">
compra expecial per Florece + habituals
</t>
        </r>
      </text>
    </comment>
    <comment ref="A30" authorId="0" shapeId="0" xr:uid="{13A82AF7-F14B-4832-935E-34D65304EB78}">
      <text>
        <r>
          <rPr>
            <b/>
            <sz val="9"/>
            <color indexed="81"/>
            <rFont val="Tahoma"/>
            <family val="2"/>
          </rPr>
          <t>Maria Vert:</t>
        </r>
        <r>
          <rPr>
            <sz val="9"/>
            <color indexed="81"/>
            <rFont val="Tahoma"/>
            <family val="2"/>
          </rPr>
          <t xml:space="preserve">
Margarita i altres contractacions q dependen de les vendes
</t>
        </r>
      </text>
    </comment>
    <comment ref="P30" authorId="0" shapeId="0" xr:uid="{DF2D7A2F-05DC-4E17-BC11-B803D62C7B84}">
      <text>
        <r>
          <rPr>
            <b/>
            <sz val="9"/>
            <color indexed="81"/>
            <rFont val="Tahoma"/>
            <family val="2"/>
          </rPr>
          <t>Maria Vert:</t>
        </r>
        <r>
          <rPr>
            <sz val="9"/>
            <color indexed="81"/>
            <rFont val="Tahoma"/>
            <family val="2"/>
          </rPr>
          <t xml:space="preserve">
Margarita i altres contractacions q dependen de les vendes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Maria Vert</author>
  </authors>
  <commentList>
    <comment ref="A11" authorId="0" shapeId="0" xr:uid="{2EEBBB80-695E-40BD-B48A-87AA358DE218}">
      <text>
        <r>
          <rPr>
            <b/>
            <sz val="9"/>
            <color indexed="81"/>
            <rFont val="Tahoma"/>
            <family val="2"/>
          </rPr>
          <t>Maria Vert:</t>
        </r>
        <r>
          <rPr>
            <sz val="9"/>
            <color indexed="81"/>
            <rFont val="Tahoma"/>
            <family val="2"/>
          </rPr>
          <t xml:space="preserve">
Holded+canva
temporalmt calendly
</t>
        </r>
      </text>
    </comment>
  </commentList>
</comments>
</file>

<file path=xl/sharedStrings.xml><?xml version="1.0" encoding="utf-8"?>
<sst xmlns="http://schemas.openxmlformats.org/spreadsheetml/2006/main" count="865" uniqueCount="408">
  <si>
    <t>CRONOGRAMA Y PLAN DE TRABAJO- FINANZAS</t>
  </si>
  <si>
    <t>SEMANAS / DÍAS</t>
  </si>
  <si>
    <t>PASOS</t>
  </si>
  <si>
    <t>ACTIVIDADES</t>
  </si>
  <si>
    <t>ENLACE DE ARCHIVOS</t>
  </si>
  <si>
    <t>TIEMPO (h)</t>
  </si>
  <si>
    <t>DÍAS</t>
  </si>
  <si>
    <t>ESTADO</t>
  </si>
  <si>
    <t>Lee el objetivo y las actividades de esta semana</t>
  </si>
  <si>
    <t>SEMANA 1</t>
  </si>
  <si>
    <t>Día 1</t>
  </si>
  <si>
    <t>PENDIENTE</t>
  </si>
  <si>
    <t xml:space="preserve">SEMANA 1 
20 Noviembre al 26 Noviembre
</t>
  </si>
  <si>
    <t>Leer el glosario de conceptos básicos y ubica cada concepto en relación con tu negocio.</t>
  </si>
  <si>
    <t>Glosario de Conceptos Básicos</t>
  </si>
  <si>
    <t>Días 1-3</t>
  </si>
  <si>
    <t>Responder el cuestionario de salud financiera.</t>
  </si>
  <si>
    <t>Cuestionario de Salud Financiera</t>
  </si>
  <si>
    <t>Días 3-5</t>
  </si>
  <si>
    <t>Analizar los resultados obtenidos en el cuestionario.</t>
  </si>
  <si>
    <t>Realiza el ejercicio Acelerador de Resultados</t>
  </si>
  <si>
    <t>SEMANA 2</t>
  </si>
  <si>
    <t>SEMANA 2
27 Noviembre al 3 Dicembre</t>
  </si>
  <si>
    <t xml:space="preserve">Llenar la pestaña 1 GASTOS.
</t>
  </si>
  <si>
    <t>1 GASTOS</t>
  </si>
  <si>
    <t xml:space="preserve">Llenar la pestaña 2 INGRESOS.
</t>
  </si>
  <si>
    <t>2 INGRESOS</t>
  </si>
  <si>
    <t>Llenar la pestaña 3 COMPENSACIÓN.</t>
  </si>
  <si>
    <t>3 COMPENSACIÓN</t>
  </si>
  <si>
    <t>SEMANA 3</t>
  </si>
  <si>
    <t>SEMANA 3
4 Diciembre al 10 Diciembre</t>
  </si>
  <si>
    <t>Abrir 5 cuentas de Banco (Ingresos, Gastos Operativos, Ganancias, Compensación del dueño, Impuestos)</t>
  </si>
  <si>
    <t>BANCO DIGITAL REVOLUT</t>
  </si>
  <si>
    <t>Revisar la distribución de las partidas obtenidas. Sigue las instrucciones explicadas en la pestaña SEMANA 3. En función de los números obtenidos vas a tener que utilizar la pestaña 4 DISTRIBUCIÓN AL AZAR -NEGOCIO DE PRODUCTOS o la pestaña 4 DISTRIBUCIÓN AL AZAR -NEGOCIO DE SERVICIOS</t>
  </si>
  <si>
    <t>NEGOCIOS DE PRODUCTOS</t>
  </si>
  <si>
    <t>4 DISTRIBUCIÓN AL AZAR - NEGOCIOS DE PRODUCTOS</t>
  </si>
  <si>
    <t>NEGOCIOS DE SERVICIOS</t>
  </si>
  <si>
    <t>4 DISTRIBUCIÓN AL AZAR - NEGOCIOS DE SERVICIOS</t>
  </si>
  <si>
    <t>Valorar la situación financiera actual de tu negocio en función siguiendo los pasos explicados en la SEMANA 3</t>
  </si>
  <si>
    <t>SEMANA 4</t>
  </si>
  <si>
    <t>SEMANA 4
11 Diciembre al 17 Diciembre</t>
  </si>
  <si>
    <t>Establecer las metas del próximo trimestre. Archivo FINANZAS DE TU NEGOCIO / Pestaña “5 METAS DE DISTRIBUCIÓN...” que te corresponda, siguiendo las instrucciones explicadas en la pestaña SEMANA 4</t>
  </si>
  <si>
    <t>5 METAS DE DISTRIBUCIÓN - NEGOCIOS DE PRODUCTOS</t>
  </si>
  <si>
    <t>5 METAS DE DISTRIBUCIÓN - NEGOCIOS DE SERVICIOS</t>
  </si>
  <si>
    <t>Planifica la nueva distribución de las partidas financieras de tu negocio y analiza el impacto que tiene en tu negocio, siguiendo los pasos explicados en la pestaña de la SEMANA 4</t>
  </si>
  <si>
    <t>SEMANA 5</t>
  </si>
  <si>
    <t>SEMANA 5
18 Diciembre al 24 Diciembre</t>
  </si>
  <si>
    <t>Ordena tus cuentas de banco, siguiendo los pasos explicados en la pestaña de la SEMANA 5</t>
  </si>
  <si>
    <t>Calcula el dinero a las diferentes cuentas, siguiendo los pasos explicados en la pestaña de la SEMANA 5</t>
  </si>
  <si>
    <t>SEMANA 25 DICIEMBRE AL 1 DE ENERO</t>
  </si>
  <si>
    <t>DESCANSO</t>
  </si>
  <si>
    <t>SEMANA 6</t>
  </si>
  <si>
    <t>SEMANA 6
2 Enero al 7 Enero</t>
  </si>
  <si>
    <t>EL DÍA 1 o 2 DE ENERO. Transfiere el dinero a las diferentes cuentas, siguiendo los pasos explicados en la pestaña de la SEMANA 5</t>
  </si>
  <si>
    <t xml:space="preserve">identifica los 5 gastos más importantes es tu negocio (los que representan el porcentaje más alto del total). 6 REDUCCIÓN DE GASTOS.
</t>
  </si>
  <si>
    <t>6 REDUCCIÓN DE GASTOS</t>
  </si>
  <si>
    <t xml:space="preserve">Determina para esos 5 gastos si es factible que se puedan ELIMINAR, SUSTITUIR O RENEGOCIAR y escoge la opción en la tabla. Pestaña 6 REDUCCIÓN DE GASTOS.
</t>
  </si>
  <si>
    <t xml:space="preserve">Analiza y aplica las estrategias de reducción de gastos presentadas en el archivo ESTRATEGIAS DE REDUCCIÓN DE GASTOS que más se ajusten a tu situación financiera. </t>
  </si>
  <si>
    <t>ESTRATEGIAS Y PLAN DE REDUCCIÓN DE GASTOS</t>
  </si>
  <si>
    <t>SEMANA 7</t>
  </si>
  <si>
    <t>SEMANA 7
8 Enero al 14 Enero</t>
  </si>
  <si>
    <t xml:space="preserve">LLenar los datos para revisar el valor de cuánto es lo mínimo que tienes que facturar diariamente. Pestaña 7 CUÁNTO VENDER AL DÍA
</t>
  </si>
  <si>
    <t>7 CUÁNTO VENDER AL DÍA</t>
  </si>
  <si>
    <t xml:space="preserve">LLenar los datos para revisar el valor de TICKET MEDIO. Pestaña 8 TICKET MEDIO
</t>
  </si>
  <si>
    <t>8 TICKET MEDIO</t>
  </si>
  <si>
    <t>Analizar los resultados, siguiendo los pasos explicados en la pestaña de la SEMANA 7</t>
  </si>
  <si>
    <t xml:space="preserve">BONO EXTRA
</t>
  </si>
  <si>
    <t>Revisa el contenido de las Estrategias Extras: 5 PRINCIPIOS ADICIONALES PARA MEJORAR TU GESTIÓN FINANCIERA. Pestaña ESTRATEGIAS EXTRAS</t>
  </si>
  <si>
    <t>ESTRATEGIAS EXTRAS</t>
  </si>
  <si>
    <t>Glosario de Conceptos Básicos de Finanzas</t>
  </si>
  <si>
    <t>Concepto</t>
  </si>
  <si>
    <t>Explicación</t>
  </si>
  <si>
    <t>Facturación</t>
  </si>
  <si>
    <t>La cantidad total de dinero que ingresa a su negocio a través de ventas de productos o servicios.</t>
  </si>
  <si>
    <t>Gastos Fijos</t>
  </si>
  <si>
    <t>Los costos que se mantienen constantes mes a mes, como alquiler, salarios fijos, seguros, y arrendamientos.</t>
  </si>
  <si>
    <t>Gastos Variables</t>
  </si>
  <si>
    <t>Costos que cambian con la actividad del negocio, como suministros, comisiones, costos de publicidad, impuestos.</t>
  </si>
  <si>
    <t>Margen de Ganancia Bruto</t>
  </si>
  <si>
    <t>La diferencia entre sus ingresos y el costo directo de los productos o servicios que vendes.</t>
  </si>
  <si>
    <t>Margen de Ganancia Neto</t>
  </si>
  <si>
    <t>Las ganancias después de restar todos los costos, incluyendo gastos fijos y variables, e impuestos.</t>
  </si>
  <si>
    <t>Flujo de Efectivo</t>
  </si>
  <si>
    <t>La cantidad de efectivo que entra y sale de su negocio. Un flujo de efectivo positivo es esencial para operar.</t>
  </si>
  <si>
    <t>Presupuesto</t>
  </si>
  <si>
    <t>Un plan financiero que detalla cómo planeas gastar y ganar dinero en tu negocio.</t>
  </si>
  <si>
    <t>Provisión para Impuestos</t>
  </si>
  <si>
    <t>El dinero que debes apartar para pagar impuestos sobre las ganancias de tu negocio.</t>
  </si>
  <si>
    <t>Inventario</t>
  </si>
  <si>
    <t>Los productos o bienes que tienes en existencia listos para ser vendidos.</t>
  </si>
  <si>
    <t>Balance General</t>
  </si>
  <si>
    <t>Un informe que muestra los activos, pasivos y el patrimonio neto de tu negocio en un momento específico.</t>
  </si>
  <si>
    <t>Estado de Resultados</t>
  </si>
  <si>
    <t>Un informe que detalla los ingresos y gastos durante un período para calcular la utilidad neta.</t>
  </si>
  <si>
    <t>Depreciación de Activos</t>
  </si>
  <si>
    <t>La disminución del valor de los activos, como equipo y mobiliario, con el tiempo.</t>
  </si>
  <si>
    <t>Rentabilidad</t>
  </si>
  <si>
    <t>La capacidad de tu negocio para generar beneficios en relación con los recursos invertidos.</t>
  </si>
  <si>
    <t>Proyecciones Financieras</t>
  </si>
  <si>
    <t>Estimaciones futuras de ingresos y gastos que te ayudan a planificar a largo plazo.</t>
  </si>
  <si>
    <t>Equidad</t>
  </si>
  <si>
    <t>El valor total de tu negocio después de pagar todas las deudas. También se llama patrimonio neto.</t>
  </si>
  <si>
    <t>Ratios Financieros</t>
  </si>
  <si>
    <t>Medidas como el margen de ganancia, la liquidez y la rotación de inventario que ayudan a evaluar la salud financiera.</t>
  </si>
  <si>
    <t>Reembolso de Préstamo</t>
  </si>
  <si>
    <t>La devolución programada de dinero prestado, incluyendo el principal y los intereses.</t>
  </si>
  <si>
    <t>Capital de Trabajo</t>
  </si>
  <si>
    <t>La cantidad de activos líquidos disponibles para cubrir gastos operativos y deuda a corto plazo.</t>
  </si>
  <si>
    <t>ROI (Retorno de la Inversión)</t>
  </si>
  <si>
    <t>La ganancia o pérdida obtenida en relación con la inversión inicial en el negocio.</t>
  </si>
  <si>
    <t>Cuestionario para valorar de manera simple y rápida la salud financiera de tu negocio</t>
  </si>
  <si>
    <t>Responde cada pregunta con la respuesta que más se adapte a las acciones que tomas con tu negocio. Cuanto más sincera seas con tus respuestas, más fácil será detectar el problema y poder solucionarlo.</t>
  </si>
  <si>
    <t>Escribe el valor de la respuesta, siguiendo esta tabla:</t>
  </si>
  <si>
    <t>1 PUNTO: “No” o “Casi Nunca”</t>
  </si>
  <si>
    <t>2 PUNTOS: “Posiblemente” o “Algunas veces” o “En algunos casos”</t>
  </si>
  <si>
    <t>3 PUNTOS: “Si”  o “Con mucha frecuencia”</t>
  </si>
  <si>
    <t>Ahora puedes comenzar a responder:</t>
  </si>
  <si>
    <t>Preguntas</t>
  </si>
  <si>
    <t>Valor asignado
(1, 2 o 3)</t>
  </si>
  <si>
    <t>¿Te queda dinero en la cuenta bancaria de tu negocio a final de mes?</t>
  </si>
  <si>
    <t>¿Te pagas un sueldo fijo cada mes?</t>
  </si>
  <si>
    <t>¿Tienes control y mides todos tus ingresos mensuales? B</t>
  </si>
  <si>
    <t>¿Conoces cuánto tienes que facturar cada mes para cubrir los costos fijos?</t>
  </si>
  <si>
    <t>¿Tienes un presupuesto mensual de costos que sigues de cerca?</t>
  </si>
  <si>
    <t>¿Tienes claro el inventario de productos que tienes en tu negocio y su valor?</t>
  </si>
  <si>
    <t>¿Elaboras un plan financiero anual para tu negocio?</t>
  </si>
  <si>
    <t>¿Tomas tiempo para detectar oportunidades de crecimiento?</t>
  </si>
  <si>
    <t>¿Realizas una estimación anual de tus compromisos fiscales?</t>
  </si>
  <si>
    <t>¿Trabajas con un gestor o asesor fiscal para optimizar tu situación tributaria?</t>
  </si>
  <si>
    <t>¿Trabajas con un asesor financiero para optimizar tus inversiones?</t>
  </si>
  <si>
    <t>¿Pagas todos tus costos y deudas con la facturación del negocio?</t>
  </si>
  <si>
    <t>¿Evitas a toda costa sacar dinero del negocio para compromisos personales?</t>
  </si>
  <si>
    <t>¿Revisas con frecuencia el detalle de tus costos para eliminar costos innecesarios?</t>
  </si>
  <si>
    <t>¿Evitas ofrecer descuentos o bajar precios para atraer más clientes?</t>
  </si>
  <si>
    <t>¿Tienes separadas las cuentas bancarias del negocio y personales?</t>
  </si>
  <si>
    <t>¿Tus empleados fijos siempre tienen la agenda llena y utilizan al máximo su tiempo de trabajo?</t>
  </si>
  <si>
    <t>SI NO TIENES EMPLEADOS, RESPONDE ESTA PREGUNTA PENSANDO EN TU AGENDA DE TRABAJO Y EN LA OPTIMIZACIÓN DE TU TIEMPO DENTRO DEL NEGOCIO</t>
  </si>
  <si>
    <t>¿Tienes más de un proveedor de productos o materia prima necesaria para tu negocio?</t>
  </si>
  <si>
    <t>PUNTAJE TOTAL</t>
  </si>
  <si>
    <t>Revisa el total de puntos obtenido por tus respuestas. Un puntaje más alto indica una conducta financiera más saludable. Aquí hay una guía aproximada:</t>
  </si>
  <si>
    <t>54-45 puntos: Buena salud financiera.</t>
  </si>
  <si>
    <t>36-44 puntos: Mejorable, considera revisar y mejorar tus prácticas financieras.</t>
  </si>
  <si>
    <t>18-35 puntos: Necesitas mejorar urgentemente tu salud financiera.</t>
  </si>
  <si>
    <t>Este cuestionario simplificado y la escala de respuestas te permitirán evaluar de manera rápida y general la salud financiera de tu negocio y tomar acciones para mejorar.</t>
  </si>
  <si>
    <t>CLASIFICACIÓN DE GASTOS</t>
  </si>
  <si>
    <t>GASTOS FIJOS / GASTOS OPERATIVOS</t>
  </si>
  <si>
    <t>CANTIDAD MENSUAL</t>
  </si>
  <si>
    <t>CANTIDAD ANUAL</t>
  </si>
  <si>
    <t>% DE IMPORTANCIA</t>
  </si>
  <si>
    <t>Alquiler del local</t>
  </si>
  <si>
    <t>Salarios y sueldos del personal</t>
  </si>
  <si>
    <t>Servicios: Electricidad, agua, gas, y otros servicios públicos.</t>
  </si>
  <si>
    <t xml:space="preserve">Seguro del local </t>
  </si>
  <si>
    <t>Costos de licencias y permisos</t>
  </si>
  <si>
    <t>Materiales de limpieza</t>
  </si>
  <si>
    <t>Publicidad y marketing</t>
  </si>
  <si>
    <t>Productos de oficina</t>
  </si>
  <si>
    <t>Mantenimiento y reparaciones</t>
  </si>
  <si>
    <t>Servicios de gestoría</t>
  </si>
  <si>
    <t>Cuota de autónomos</t>
  </si>
  <si>
    <t>Otros</t>
  </si>
  <si>
    <t>TOTAL</t>
  </si>
  <si>
    <t xml:space="preserve">GASTOS VARIABLES </t>
  </si>
  <si>
    <t>% DE LOS INGRESOS</t>
  </si>
  <si>
    <t>NO TE PREOCUPES POR ESTAS CELDAS, CUANDO LLENES LA PESTAÑA DE INGRESOS SE VAN A CALCULAR</t>
  </si>
  <si>
    <t>SUB TOTAL PRODUCTOS PARA LA VENTA Y PERSONAL SUBCONTRATADO</t>
  </si>
  <si>
    <t>Impuestos sobre la renta IRPF (Se paga una vez al año en Junio del año siguiente)</t>
  </si>
  <si>
    <t>Pagos trimestrales</t>
  </si>
  <si>
    <t>SUB TOTAL</t>
  </si>
  <si>
    <t>ç</t>
  </si>
  <si>
    <t>NOTAS:</t>
  </si>
  <si>
    <t>Si conoces la cantidad mensual del gasto (por ejemplo el alquiler), escríbela en la columna B, en la fila que corresponda, y ya la fórmula te calcula el anual en la columna C</t>
  </si>
  <si>
    <t>Si conoces la cantidad anual (por ejemplo, la del IRPF), escríbela directamente el la columna C, en la fila que corresponda</t>
  </si>
  <si>
    <t>SI LA CELDA D23 TE DA 30% O MAS: UTILIZA LA PESTAÑA 4 PARA NEGOCIOS DE PRODUCTOS</t>
  </si>
  <si>
    <t>SI LA CELDA D23 TE DA 29% O MENOS: UTILIZA LA PESTAÑA 4 PARA NEGOCIOS DE SERVICIOS</t>
  </si>
  <si>
    <t>Las celdas en gris NO LAS TOQUES</t>
  </si>
  <si>
    <t>HOJA DE CLASIFICACIÓN DE INGRESOS</t>
  </si>
  <si>
    <t>INGRESOS / FACTURACIÓN / VENTAS</t>
  </si>
  <si>
    <t>EJEMPLOS</t>
  </si>
  <si>
    <t>Venta de productos cabello</t>
  </si>
  <si>
    <t>Venta de prodcutos faciales</t>
  </si>
  <si>
    <t>Venta de productos corporales</t>
  </si>
  <si>
    <t>Servicios de peluquería</t>
  </si>
  <si>
    <t>Servicios Faciales</t>
  </si>
  <si>
    <t>Servicios Corporales</t>
  </si>
  <si>
    <t>Sub-arriendo de Cabina</t>
  </si>
  <si>
    <t>Servicios exras a domicilio</t>
  </si>
  <si>
    <t>Colaboraciones con otros profesionales</t>
  </si>
  <si>
    <t>Sesiones de Fotografías en el estudio embarazadas</t>
  </si>
  <si>
    <t>Sesiones de Fotografías en el estudio Rencien Nacidos</t>
  </si>
  <si>
    <t>Sesiones de Fotografías en exteriores</t>
  </si>
  <si>
    <t>Venta de productos fotográficos (albums, portaretratos, calendarios, etc)</t>
  </si>
  <si>
    <t>Mini sesiones de fotografía</t>
  </si>
  <si>
    <t>Sub-arriendo de espacio</t>
  </si>
  <si>
    <t>Ropa casual</t>
  </si>
  <si>
    <t>Ropa de Fiesta</t>
  </si>
  <si>
    <t>Ropa de Oficina</t>
  </si>
  <si>
    <t>Bolsos</t>
  </si>
  <si>
    <t>Zapatos</t>
  </si>
  <si>
    <t>Accesorios</t>
  </si>
  <si>
    <t>Sesiones de asesoría de Imagen</t>
  </si>
  <si>
    <t>Colaboración con otros profesionales</t>
  </si>
  <si>
    <t>HOJA DE CLASIFICACIÓN DE COMPENSACIÓN / SALARIO</t>
  </si>
  <si>
    <t>Dinero que tengo asignado para cobrar a final de mes</t>
  </si>
  <si>
    <t>Efectivo que suelo retirar de la caja para pagar cosas personales</t>
  </si>
  <si>
    <t>Gastos  personales que pago con la cuenta del negocio</t>
  </si>
  <si>
    <t>NOTA: Si no tienes un sueldo asignado y no tienes ni idea de cuanto dinero has tomado de la caja o de la cuenta bancaria, entonces no llenes este cuadro</t>
  </si>
  <si>
    <t>HOJA DE CLASIFICACIÓN DE INGRESOS PELUQUERÍA Y ESTÉTICA</t>
  </si>
  <si>
    <t>HOJA DE CLASIFICACIÓN DE INGRESOS ESTUDIO DE FOTOGRAFÍA</t>
  </si>
  <si>
    <t>HOJA DE CLASIFICACIÓN DE INGRESOS TIENDA DE ROPA</t>
  </si>
  <si>
    <t>DISTRIBUCIÓN DE TUS PARTIDAS - NEGOCIOS DE PRODUCTOS</t>
  </si>
  <si>
    <t xml:space="preserve"> Lo que hice el año pasado en €</t>
  </si>
  <si>
    <t>Porcentaje de distribución al azar</t>
  </si>
  <si>
    <t>DISPOSICIÓN IDEAL</t>
  </si>
  <si>
    <t>Ingreso Total</t>
  </si>
  <si>
    <t>CUENTA 1 INGRESOS</t>
  </si>
  <si>
    <t>Productos/Sub.</t>
  </si>
  <si>
    <t>CUENTA 5 GASTOS OPERATIVOS O CREAR LA 6</t>
  </si>
  <si>
    <t>Ingreso Bruto</t>
  </si>
  <si>
    <t>Ganancia</t>
  </si>
  <si>
    <t>CUENTA 3 GANANCIA</t>
  </si>
  <si>
    <t>Compensación Dueño</t>
  </si>
  <si>
    <t>CUENTA 2 COMPENSACIÓN DUEÑO</t>
  </si>
  <si>
    <t>Impuestos</t>
  </si>
  <si>
    <t>CUENTA 4 IMPUESTOS</t>
  </si>
  <si>
    <t>Gastos Operación</t>
  </si>
  <si>
    <t>CUENTA 5 GASTOS OPERATIVOS</t>
  </si>
  <si>
    <t>CASILLAS VERIFICACIÓN</t>
  </si>
  <si>
    <t>C7</t>
  </si>
  <si>
    <t>F7</t>
  </si>
  <si>
    <t xml:space="preserve">NIVEL BÁSICO </t>
  </si>
  <si>
    <t>FILA 13 Y 15</t>
  </si>
  <si>
    <t>SOLO DEBEMOS COMPOBAR QUE COINCIDAN (C13=C7 Y F13=F7)</t>
  </si>
  <si>
    <t>INFORMACIÓN DE CADA CASILLA</t>
  </si>
  <si>
    <t>B5</t>
  </si>
  <si>
    <t>INGRESO TOTAL</t>
  </si>
  <si>
    <t>Viene de la pestaña 2 INGRESOS, C20</t>
  </si>
  <si>
    <t>B6</t>
  </si>
  <si>
    <t>PRODUCTOS QUE COMPRAS PARA VENDER + PERSONAL SUBCONTRATADO NECESARIO PARA PRESTAR UN SERVICIO AL CLIENTE)</t>
  </si>
  <si>
    <t>Viene de la pestaña 1 GASTOS, C23</t>
  </si>
  <si>
    <t>B7</t>
  </si>
  <si>
    <t>INGRESO BRUTO</t>
  </si>
  <si>
    <t>Es la diferencia de las dos primeras.</t>
  </si>
  <si>
    <t>B8</t>
  </si>
  <si>
    <t>GANANCIA - BENEFICIO</t>
  </si>
  <si>
    <t>Ganancia o beneficio de la empresa. No es tu sueldo. Esto es el dineo que queda en el banco a final de año despues de pagar TODOS los gastos, incluyendo impuestos.</t>
  </si>
  <si>
    <t>CASILLA GANACIAS</t>
  </si>
  <si>
    <t>B9</t>
  </si>
  <si>
    <t>COMPENSACIÓN DEL DUEÑO</t>
  </si>
  <si>
    <t>Viene de la pestaña 3 COMPENSACIÓN, C20</t>
  </si>
  <si>
    <t>La distrubución es un premio para las personas que han invertido dinero en el negocio</t>
  </si>
  <si>
    <t>B10</t>
  </si>
  <si>
    <t>IMPUESTOS</t>
  </si>
  <si>
    <t>Viene de la pestaña 1 GASTOS, C26</t>
  </si>
  <si>
    <t xml:space="preserve">No confundas ganancia con sueldo del dueño. </t>
  </si>
  <si>
    <t>B11</t>
  </si>
  <si>
    <t>GASTOS DE OPERACIÓN</t>
  </si>
  <si>
    <t>Viene de la pestaña 1 GASTOS, C18</t>
  </si>
  <si>
    <t>El sueldo es por trabajar, la ganancia es por invertir. Como las acciones</t>
  </si>
  <si>
    <t>Si hay préstamos 1% a socios y 99% a préstamos comenzando por el de menor importe</t>
  </si>
  <si>
    <t>Colchón de 3 meses sobre gastos.</t>
  </si>
  <si>
    <t>COLUMNA D</t>
  </si>
  <si>
    <t>Te va a decir como distibuyes actualmente el dinero que entra en la empresa en %. (No tocar)</t>
  </si>
  <si>
    <t>BÁSICO - LEEMOS NÚMEROS - COLUMNA E</t>
  </si>
  <si>
    <t>E8</t>
  </si>
  <si>
    <t>Este es el porcentaje  del ingreso bruto que deberías destinar a ganancia.</t>
  </si>
  <si>
    <t>E9</t>
  </si>
  <si>
    <t>Este es el porcentaje  del ingreso bruto que deberías destinar a tu sueldo.</t>
  </si>
  <si>
    <t>E10</t>
  </si>
  <si>
    <t>Este es el porcentaje  del ingreso bruto que deberías destinar a Impuestos. Aunque la mejor forma de saberlo es ver años anteriores.</t>
  </si>
  <si>
    <t>E11</t>
  </si>
  <si>
    <t>Este es el porcentaje  del ingreso bruto que deberías destinar a gastos operativos.</t>
  </si>
  <si>
    <t>COLUMNA F</t>
  </si>
  <si>
    <t>Te va a decir como deberías distibuir ese porcentaje en dinero. (No tocar)</t>
  </si>
  <si>
    <t>DISTRIBUCIÓN DE TUS PARTIDAS - NEGOCIOS DE SERVICIOS</t>
  </si>
  <si>
    <t>Ingreso bruto</t>
  </si>
  <si>
    <t>METAS DE DISTRIBUCIÓN DE TUS PARTIDAS - NEGOCIOS DE PRODUCTOS</t>
  </si>
  <si>
    <t>% PRÓXIMO TRIMESTRE €</t>
  </si>
  <si>
    <t>Ganancia / Beneficio</t>
  </si>
  <si>
    <t>¿CUÁNTO TENGO QUE AHORRA EN GASTOS OPERACIÓN POR MES, EN EL PRÓXIMO TRIMESTRE?</t>
  </si>
  <si>
    <t>G7</t>
  </si>
  <si>
    <t>NIVEL AVANZADO</t>
  </si>
  <si>
    <t xml:space="preserve"> LA COLUMNA E LA PODEMOS TOCAR EN BASE A LA EXPERIENCIA</t>
  </si>
  <si>
    <t>SOLO DEBEMOS COMPOBAR QUE COINCIDAN (C13=C7, F13=F7, G13=G7)</t>
  </si>
  <si>
    <t>CASILLA GASTOS OPERSTIVOS DEL PRÓXIMO TRIMESTRE (META)</t>
  </si>
  <si>
    <t>LAS CELDAS H11 Y G11  SE CALCULAN AUTOMATICAMENTE. 
AL TENER QUE AUMENTAR LA GANANCIA Y LA COMPENSACIÓN DEL DUEÑO EN 1% , LOS GASTOS OPERATIVOS DEBEN BAJAR EN LA CANTIDAD QUE AUMENTARON ESAS DOS PARTIDAS, POR ESO, GASTOS OPERATIVOS SE CALCULAN CON UNA RESTA: 
GASTOS OPERATIVOS DEL PRÓXIMO TRIMESTRE (H11)=INGRESOS (H7) - GANANCIA (H8) -COMPESACIÓN (H9) - IMPUESTOS (H10)</t>
  </si>
  <si>
    <t>COLUMNA G - H</t>
  </si>
  <si>
    <t xml:space="preserve">Te va a decir como vas a dristribuir el dinero de la empresa durante el próximo trimestre + o -1 </t>
  </si>
  <si>
    <t>METAS DE DISTRIBUCIÓN DE TUS PARTIDAS - NEGOCIOS DE SERVICIOS</t>
  </si>
  <si>
    <t>Te va a decir como distibuyes actualmente (AL AZAR Y SIN PLANIFICACIÓN) el dinero que entra en la empresa en %. (No tocar)</t>
  </si>
  <si>
    <t>ARCHIVO: ESTRATEGIAS Y PLAN DE REDUCCIÓN DE GASTOS</t>
  </si>
  <si>
    <t>PINCHA PARA VER EL ARCHIVO</t>
  </si>
  <si>
    <t xml:space="preserve">HOJA DE CLASIFICACIÓN Y REDCCIÓN DE GASTOS </t>
  </si>
  <si>
    <t>META DE REDUCCIÓN DE GASTOS</t>
  </si>
  <si>
    <t>POSIBILIDAD DE ELIMINAR - SUSTITUIR - RENEGOCIAR</t>
  </si>
  <si>
    <t>META DE REDUCCIÓN</t>
  </si>
  <si>
    <t>NUEVO COSTO</t>
  </si>
  <si>
    <t>AHORRO MENSUAL</t>
  </si>
  <si>
    <t>AHORRO TRIMESTRAL</t>
  </si>
  <si>
    <t>AHORRO ANUAL</t>
  </si>
  <si>
    <t>NINGUNA</t>
  </si>
  <si>
    <t>¿CUÁNTO VENDER AL DÍA?</t>
  </si>
  <si>
    <t>Cuanto días estás abierta el año</t>
  </si>
  <si>
    <t xml:space="preserve">Cuantas horas abres "de venta" </t>
  </si>
  <si>
    <t>Si hay días que trabajas medio tiempo, entonces utiliza los siguientes cuadros:</t>
  </si>
  <si>
    <t>Cuanto días estás abierta el año a tiempo completo</t>
  </si>
  <si>
    <t>Cuanto días estás abierta el año a tiempo parcial</t>
  </si>
  <si>
    <t>GASTOS ANUALES</t>
  </si>
  <si>
    <t>¡Esta es la suma de todos tus gastos anuales!</t>
  </si>
  <si>
    <t>GASTOS MENSUALES 12 meses</t>
  </si>
  <si>
    <t>¡Este es el promedio mensual de tus gastos!</t>
  </si>
  <si>
    <t>GASTOS DIARIOS</t>
  </si>
  <si>
    <t>¡Este es el promedio diario de tus gastos!</t>
  </si>
  <si>
    <t>SI TODOS LOS DÍAS TRABAJAS LAS MISMAS HORAS</t>
  </si>
  <si>
    <t xml:space="preserve">MÍNIMA FACTURACIÓN DIARIA </t>
  </si>
  <si>
    <t>¡Esta es la facturación promedio que deberías tener cada día!</t>
  </si>
  <si>
    <t>MÍNIMA FACTURACIÓN POR HORA</t>
  </si>
  <si>
    <t>¡Esta es la facturación promedio que deberías tener cada hora!</t>
  </si>
  <si>
    <t>SI TIENES DÍAS DE MEDIA JORNADA</t>
  </si>
  <si>
    <t>MÍNIMA FACTURACIÓN DIARIA LOS DÍAS DE 8 HORAS</t>
  </si>
  <si>
    <t>¡Esta es la facturación promedio que deberías tener cada día completo!</t>
  </si>
  <si>
    <t>MÍNIMA FACTURACIÓN DIARIA LOS DÍAS DE 5 HORAS</t>
  </si>
  <si>
    <t>¡Esta es la facturación promedio que deberías tener cada día parcial!</t>
  </si>
  <si>
    <t>TICKET MEDIO DE LOS ÚLTIMOS 6 MESES</t>
  </si>
  <si>
    <t>MES</t>
  </si>
  <si>
    <t>FACTURACIÓN</t>
  </si>
  <si>
    <t>NÚMERO DE CLIENTES</t>
  </si>
  <si>
    <t>TICKET MEDIO</t>
  </si>
  <si>
    <t>COMPARACIÓN DEL TICKET MEDIO CON LA MÍNIMA FACTURACIÓN POR HORA</t>
  </si>
  <si>
    <t>SI TODOS LOS DÍAS TRABAJAS LAS MISMA HORAS</t>
  </si>
  <si>
    <t>Ticket Medio</t>
  </si>
  <si>
    <t>Mínina Facturación por hora</t>
  </si>
  <si>
    <t>Factor de relación</t>
  </si>
  <si>
    <t xml:space="preserve">Supongamos que la compañía XYZ obtiene ingresos de 100 millones de euros al año, de los cuales 26 millones son beneficio bruto. El margen bruto sería del 26% (26 millones de euros / 100 millones de euros x 100) Aún tendrían que gastar parte de los 26 millones de euros en pagar a los accionistas o en liquidar otros gastos de la compañía, tales como honorarios e impuestos.. </t>
  </si>
  <si>
    <t>COMPLETADA</t>
  </si>
  <si>
    <t>¿Con qué margen trabajas?</t>
  </si>
  <si>
    <t>Ene</t>
  </si>
  <si>
    <t>Feb</t>
  </si>
  <si>
    <t>Mar</t>
  </si>
  <si>
    <t>Abr</t>
  </si>
  <si>
    <t>May</t>
  </si>
  <si>
    <t>Jun</t>
  </si>
  <si>
    <t>Jul</t>
  </si>
  <si>
    <t>Ago</t>
  </si>
  <si>
    <t>Sep</t>
  </si>
  <si>
    <t>Oct</t>
  </si>
  <si>
    <t>Nov</t>
  </si>
  <si>
    <t>Dic</t>
  </si>
  <si>
    <t>Pagos trimestrales impuestos</t>
  </si>
  <si>
    <t>Formación</t>
  </si>
  <si>
    <t>Materiales (cristales etc)</t>
  </si>
  <si>
    <t>Contrataciones temporales- impuestos</t>
  </si>
  <si>
    <t>Flores</t>
  </si>
  <si>
    <t>Gastos bancarios</t>
  </si>
  <si>
    <t>Packaging</t>
  </si>
  <si>
    <t>Web y comunicación</t>
  </si>
  <si>
    <t>Telefonia</t>
  </si>
  <si>
    <t>Mensajería</t>
  </si>
  <si>
    <t>Novias</t>
  </si>
  <si>
    <t>Complementos</t>
  </si>
  <si>
    <t>Talleres</t>
  </si>
  <si>
    <t>Sant Jordi</t>
  </si>
  <si>
    <t>Premsades</t>
  </si>
  <si>
    <t>FACTURACION POR CANAL DE VENTA</t>
  </si>
  <si>
    <t>Google</t>
  </si>
  <si>
    <t>Instagram</t>
  </si>
  <si>
    <t>Bodas.net</t>
  </si>
  <si>
    <t>Referencias</t>
  </si>
  <si>
    <t xml:space="preserve">Conocidos </t>
  </si>
  <si>
    <t>Escaparate</t>
  </si>
  <si>
    <t>Cliente reiterado</t>
  </si>
  <si>
    <t>Wedding planners, proveïdors</t>
  </si>
  <si>
    <r>
      <t xml:space="preserve">Salarios y sueldos </t>
    </r>
    <r>
      <rPr>
        <b/>
        <sz val="10"/>
        <color theme="1"/>
        <rFont val="Arial"/>
        <family val="2"/>
        <scheme val="minor"/>
      </rPr>
      <t>del personal</t>
    </r>
    <r>
      <rPr>
        <sz val="10"/>
        <color theme="1"/>
        <rFont val="Arial"/>
        <family val="2"/>
        <scheme val="minor"/>
      </rPr>
      <t xml:space="preserve"> fijo (independ de las ventas)</t>
    </r>
  </si>
  <si>
    <t>Productos/Sub.-relacionado con ventas</t>
  </si>
  <si>
    <t>Gastos Operación fijos e indep.de ventas</t>
  </si>
  <si>
    <t>SI LA CELDA D33 TE DA 30% O MAS: UTILIZA LA PESTAÑA 4 PARA NEGOCIOS DE PRODUCTOS</t>
  </si>
  <si>
    <t>SI LA CELDA D33 TE DA 29% O MENOS: UTILIZA LA PESTAÑA 4 PARA NEGOCIOS DE SERVICIOS</t>
  </si>
  <si>
    <t xml:space="preserve">tiquet medio </t>
  </si>
  <si>
    <t>Varios (protecc datos)</t>
  </si>
  <si>
    <t>ELIMINAR</t>
  </si>
  <si>
    <t>SUSTITUIR</t>
  </si>
  <si>
    <t xml:space="preserve"> Lo que estoy haciendo este año  en €</t>
  </si>
  <si>
    <t>Lo que estoy haciendo este año en €</t>
  </si>
  <si>
    <t xml:space="preserve">TOTAL GASTOS </t>
  </si>
  <si>
    <t>Tik-Tok</t>
  </si>
  <si>
    <t>Asesorías</t>
  </si>
  <si>
    <t>CANTIDAD
 ANUAL</t>
  </si>
  <si>
    <t>% DE 
IMPORTANCIA</t>
  </si>
  <si>
    <t>Fires</t>
  </si>
  <si>
    <t>Networking</t>
  </si>
  <si>
    <t>Desconegut</t>
  </si>
  <si>
    <t>Madrigal</t>
  </si>
  <si>
    <t>Decoracions</t>
  </si>
  <si>
    <t>Productos web, cuadros , cupulas  y varios</t>
  </si>
  <si>
    <t>Reservas ramo (€)</t>
  </si>
  <si>
    <t>Reservas cantidad mensual</t>
  </si>
  <si>
    <t>Reservas cuadro premsadas (€)</t>
  </si>
  <si>
    <t>Cantidad cuadro premsado</t>
  </si>
  <si>
    <t>B2B</t>
  </si>
  <si>
    <t>Web, comunicación, sistemas</t>
  </si>
  <si>
    <t>Amazon</t>
  </si>
  <si>
    <t>??</t>
  </si>
  <si>
    <t>% DE IMPORTANCIA 
de losgtos fijos</t>
  </si>
  <si>
    <t xml:space="preserve">Inmovilizados: maderas prensa, </t>
  </si>
  <si>
    <t>Mantenimiento y reparaciones y muebles</t>
  </si>
  <si>
    <t>Florece</t>
  </si>
  <si>
    <t>Formaciones</t>
  </si>
  <si>
    <t>Membresias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</si>
</sst>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 #,##0.00\ &quot;€&quot;_-;\-* #,##0.00\ &quot;€&quot;_-;_-* &quot;-&quot;??\ &quot;€&quot;_-;_-@_-"/>
    <numFmt numFmtId="164" formatCode="#,##0\ [$€-1]"/>
    <numFmt numFmtId="165" formatCode="#,##0.00\ [$€-1]"/>
    <numFmt numFmtId="166" formatCode="_-* #,##0\ &quot;€&quot;_-;\-* #,##0\ &quot;€&quot;_-;_-* &quot;-&quot;??\ &quot;€&quot;_-;_-@_-"/>
  </numFmts>
  <fonts count="58">
    <font>
      <sz val="10"/>
      <color rgb="FF000000"/>
      <name val="Arial"/>
      <scheme val="minor"/>
    </font>
    <font>
      <sz val="10"/>
      <color theme="1"/>
      <name val="Arial"/>
      <family val="2"/>
    </font>
    <font>
      <b/>
      <sz val="18"/>
      <color rgb="FF0B5394"/>
      <name val="Caveat"/>
    </font>
    <font>
      <b/>
      <sz val="10"/>
      <color theme="1"/>
      <name val="Arial"/>
      <family val="2"/>
    </font>
    <font>
      <u/>
      <sz val="10"/>
      <color rgb="FF0000FF"/>
      <name val="Arial"/>
      <family val="2"/>
    </font>
    <font>
      <sz val="10"/>
      <color theme="1"/>
      <name val="Arial"/>
      <family val="2"/>
      <scheme val="minor"/>
    </font>
    <font>
      <u/>
      <sz val="10"/>
      <color rgb="FF0000FF"/>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sz val="12"/>
      <color theme="1"/>
      <name val="Arial"/>
      <family val="2"/>
    </font>
    <font>
      <u/>
      <sz val="10"/>
      <color rgb="FF0000FF"/>
      <name val="Arial"/>
      <family val="2"/>
    </font>
    <font>
      <u/>
      <sz val="10"/>
      <color rgb="FF1155CC"/>
      <name val="Arial"/>
      <family val="2"/>
    </font>
    <font>
      <u/>
      <sz val="10"/>
      <color rgb="FF0000FF"/>
      <name val="Arial"/>
      <family val="2"/>
    </font>
    <font>
      <u/>
      <sz val="10"/>
      <color rgb="FF1155CC"/>
      <name val="Arial"/>
      <family val="2"/>
    </font>
    <font>
      <u/>
      <sz val="10"/>
      <color rgb="FF0000FF"/>
      <name val="Arial"/>
      <family val="2"/>
    </font>
    <font>
      <b/>
      <sz val="14"/>
      <color rgb="FF222222"/>
      <name val="&quot;Google Sans&quot;"/>
    </font>
    <font>
      <b/>
      <sz val="12"/>
      <color rgb="FF374151"/>
      <name val="Roboto"/>
    </font>
    <font>
      <b/>
      <sz val="11"/>
      <color rgb="FF374151"/>
      <name val="Roboto"/>
    </font>
    <font>
      <sz val="11"/>
      <color rgb="FF374151"/>
      <name val="Roboto"/>
    </font>
    <font>
      <b/>
      <sz val="14"/>
      <color theme="1"/>
      <name val="Arial"/>
      <family val="2"/>
    </font>
    <font>
      <sz val="10"/>
      <name val="Arial"/>
      <family val="2"/>
    </font>
    <font>
      <b/>
      <sz val="12"/>
      <color theme="1"/>
      <name val="Arial"/>
      <family val="2"/>
    </font>
    <font>
      <sz val="17"/>
      <color theme="1"/>
      <name val="Arial"/>
      <family val="2"/>
    </font>
    <font>
      <b/>
      <sz val="12"/>
      <color theme="1"/>
      <name val="Arial"/>
      <family val="2"/>
      <scheme val="minor"/>
    </font>
    <font>
      <b/>
      <sz val="10"/>
      <color theme="1"/>
      <name val="Arial"/>
      <family val="2"/>
      <scheme val="minor"/>
    </font>
    <font>
      <sz val="12"/>
      <color theme="1"/>
      <name val="Arial"/>
      <family val="2"/>
      <scheme val="minor"/>
    </font>
    <font>
      <sz val="10"/>
      <color theme="1"/>
      <name val="Arial"/>
      <family val="2"/>
    </font>
    <font>
      <sz val="10"/>
      <color rgb="FF000000"/>
      <name val="Arial"/>
      <family val="2"/>
    </font>
    <font>
      <sz val="10"/>
      <color rgb="FFFF0000"/>
      <name val="Arial"/>
      <family val="2"/>
    </font>
    <font>
      <sz val="12"/>
      <color theme="1"/>
      <name val="Calibri"/>
      <family val="2"/>
    </font>
    <font>
      <b/>
      <sz val="10"/>
      <color theme="1"/>
      <name val="Arial"/>
      <family val="2"/>
    </font>
    <font>
      <u/>
      <sz val="10"/>
      <color rgb="FF0000FF"/>
      <name val="Arial"/>
      <family val="2"/>
    </font>
    <font>
      <b/>
      <sz val="10"/>
      <color theme="1"/>
      <name val="Arial"/>
      <family val="2"/>
      <scheme val="minor"/>
    </font>
    <font>
      <sz val="11"/>
      <color theme="1"/>
      <name val="Arial"/>
      <family val="2"/>
      <scheme val="minor"/>
    </font>
    <font>
      <i/>
      <sz val="10"/>
      <color theme="1"/>
      <name val="Arial"/>
      <family val="2"/>
    </font>
    <font>
      <sz val="11"/>
      <color rgb="FF1F1F1F"/>
      <name val="&quot;Google Sans&quot;"/>
    </font>
    <font>
      <sz val="10"/>
      <color rgb="FFFF0000"/>
      <name val="Arial"/>
      <family val="2"/>
    </font>
    <font>
      <sz val="8"/>
      <color rgb="FF1E1A1A"/>
      <name val="Arial"/>
      <family val="2"/>
      <scheme val="minor"/>
    </font>
    <font>
      <sz val="8"/>
      <name val="Arial"/>
      <family val="2"/>
      <scheme val="minor"/>
    </font>
    <font>
      <sz val="9"/>
      <color indexed="81"/>
      <name val="Tahoma"/>
      <family val="2"/>
    </font>
    <font>
      <b/>
      <sz val="9"/>
      <color indexed="81"/>
      <name val="Tahoma"/>
      <family val="2"/>
    </font>
    <font>
      <sz val="10"/>
      <color theme="1"/>
      <name val="Arial"/>
      <family val="2"/>
    </font>
    <font>
      <b/>
      <sz val="10"/>
      <color rgb="FF000000"/>
      <name val="Arial"/>
      <family val="2"/>
      <scheme val="minor"/>
    </font>
    <font>
      <sz val="10"/>
      <color theme="1"/>
      <name val="Arial"/>
      <family val="2"/>
      <scheme val="minor"/>
    </font>
    <font>
      <b/>
      <sz val="10"/>
      <color theme="1"/>
      <name val="Arial"/>
      <family val="2"/>
      <scheme val="minor"/>
    </font>
    <font>
      <b/>
      <sz val="10"/>
      <color theme="1"/>
      <name val="Arial"/>
      <family val="2"/>
    </font>
    <font>
      <sz val="8"/>
      <name val="Arial"/>
      <family val="2"/>
      <scheme val="minor"/>
    </font>
    <font>
      <sz val="10"/>
      <color rgb="FF000000"/>
      <name val="Arial"/>
      <family val="2"/>
    </font>
    <font>
      <sz val="10"/>
      <color rgb="FFC00000"/>
      <name val="Arial"/>
      <family val="2"/>
      <scheme val="minor"/>
    </font>
    <font>
      <b/>
      <sz val="10"/>
      <color rgb="FFC00000"/>
      <name val="Arial"/>
      <family val="2"/>
      <scheme val="minor"/>
    </font>
    <font>
      <sz val="10"/>
      <name val="Arial"/>
      <family val="2"/>
      <scheme val="minor"/>
    </font>
    <font>
      <sz val="9"/>
      <color indexed="81"/>
      <name val="Tahoma"/>
      <charset val="1"/>
    </font>
    <font>
      <b/>
      <sz val="9"/>
      <color indexed="81"/>
      <name val="Tahoma"/>
      <charset val="1"/>
    </font>
    <font>
      <sz val="10"/>
      <color theme="3"/>
      <name val="Arial"/>
      <family val="2"/>
      <scheme val="minor"/>
    </font>
  </fonts>
  <fills count="28">
    <fill>
      <patternFill patternType="none"/>
    </fill>
    <fill>
      <patternFill patternType="gray125"/>
    </fill>
    <fill>
      <patternFill patternType="solid">
        <fgColor rgb="FFCFE2F3"/>
        <bgColor rgb="FFCFE2F3"/>
      </patternFill>
    </fill>
    <fill>
      <patternFill patternType="solid">
        <fgColor rgb="FFFCE5CD"/>
        <bgColor rgb="FFFCE5CD"/>
      </patternFill>
    </fill>
    <fill>
      <patternFill patternType="solid">
        <fgColor theme="0"/>
        <bgColor theme="0"/>
      </patternFill>
    </fill>
    <fill>
      <patternFill patternType="solid">
        <fgColor rgb="FFD9EAD3"/>
        <bgColor rgb="FFD9EAD3"/>
      </patternFill>
    </fill>
    <fill>
      <patternFill patternType="solid">
        <fgColor rgb="FFFFF2CC"/>
        <bgColor rgb="FFFFF2CC"/>
      </patternFill>
    </fill>
    <fill>
      <patternFill patternType="solid">
        <fgColor rgb="FFD0FAFD"/>
        <bgColor rgb="FFD0FAFD"/>
      </patternFill>
    </fill>
    <fill>
      <patternFill patternType="solid">
        <fgColor rgb="FFF4CCCC"/>
        <bgColor rgb="FFF4CCCC"/>
      </patternFill>
    </fill>
    <fill>
      <patternFill patternType="solid">
        <fgColor rgb="FF00FF00"/>
        <bgColor rgb="FF00FF00"/>
      </patternFill>
    </fill>
    <fill>
      <patternFill patternType="solid">
        <fgColor rgb="FFD9D2E9"/>
        <bgColor rgb="FFD9D2E9"/>
      </patternFill>
    </fill>
    <fill>
      <patternFill patternType="solid">
        <fgColor rgb="FFC9DAF8"/>
        <bgColor rgb="FFC9DAF8"/>
      </patternFill>
    </fill>
    <fill>
      <patternFill patternType="solid">
        <fgColor rgb="FF95B2B8"/>
        <bgColor rgb="FF95B2B8"/>
      </patternFill>
    </fill>
    <fill>
      <patternFill patternType="solid">
        <fgColor rgb="FFFFFFFF"/>
        <bgColor rgb="FFFFFFFF"/>
      </patternFill>
    </fill>
    <fill>
      <patternFill patternType="solid">
        <fgColor rgb="FFA2C4C9"/>
        <bgColor rgb="FFA2C4C9"/>
      </patternFill>
    </fill>
    <fill>
      <patternFill patternType="solid">
        <fgColor rgb="FFCCCCCC"/>
        <bgColor rgb="FFCCCCCC"/>
      </patternFill>
    </fill>
    <fill>
      <patternFill patternType="solid">
        <fgColor rgb="FFB7B7B7"/>
        <bgColor rgb="FFB7B7B7"/>
      </patternFill>
    </fill>
    <fill>
      <patternFill patternType="solid">
        <fgColor rgb="FFB6D7A8"/>
        <bgColor rgb="FFB6D7A8"/>
      </patternFill>
    </fill>
    <fill>
      <patternFill patternType="solid">
        <fgColor rgb="FF000000"/>
        <bgColor rgb="FF000000"/>
      </patternFill>
    </fill>
    <fill>
      <patternFill patternType="solid">
        <fgColor rgb="FFD8D8D8"/>
        <bgColor rgb="FFD8D8D8"/>
      </patternFill>
    </fill>
    <fill>
      <patternFill patternType="solid">
        <fgColor rgb="FF93C47D"/>
        <bgColor rgb="FF93C47D"/>
      </patternFill>
    </fill>
    <fill>
      <patternFill patternType="solid">
        <fgColor rgb="FFFFFF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5"/>
        <bgColor indexed="64"/>
      </patternFill>
    </fill>
  </fills>
  <borders count="38">
    <border>
      <left/>
      <right/>
      <top/>
      <bottom/>
      <diagonal/>
    </border>
    <border>
      <left style="thin">
        <color rgb="FF000000"/>
      </left>
      <right style="thin">
        <color rgb="FFD9D9E3"/>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medium">
        <color rgb="FF000000"/>
      </top>
      <bottom style="medium">
        <color rgb="FF000000"/>
      </bottom>
      <diagonal/>
    </border>
    <border>
      <left style="medium">
        <color rgb="FF000000"/>
      </left>
      <right/>
      <top/>
      <bottom style="thin">
        <color rgb="FF000000"/>
      </bottom>
      <diagonal/>
    </border>
    <border>
      <left style="medium">
        <color rgb="FF000000"/>
      </left>
      <right/>
      <top/>
      <bottom style="medium">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medium">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bottom style="medium">
        <color rgb="FF000000"/>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s>
  <cellStyleXfs count="1">
    <xf numFmtId="0" fontId="0" fillId="0" borderId="0"/>
  </cellStyleXfs>
  <cellXfs count="318">
    <xf numFmtId="0" fontId="0" fillId="0" borderId="0" xfId="0"/>
    <xf numFmtId="0" fontId="1" fillId="0" borderId="0" xfId="0" applyFont="1" applyAlignment="1">
      <alignment vertical="center"/>
    </xf>
    <xf numFmtId="0" fontId="1" fillId="0" borderId="0" xfId="0" applyFont="1" applyAlignment="1">
      <alignment horizontal="center" vertical="center" wrapText="1"/>
    </xf>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3" fillId="3" borderId="0" xfId="0" applyFont="1" applyFill="1" applyAlignment="1">
      <alignment horizontal="center" vertical="center" wrapText="1"/>
    </xf>
    <xf numFmtId="0" fontId="1" fillId="3" borderId="0" xfId="0" applyFont="1" applyFill="1" applyAlignment="1">
      <alignment horizontal="center" vertical="center"/>
    </xf>
    <xf numFmtId="0" fontId="1" fillId="3" borderId="0" xfId="0" applyFont="1" applyFill="1" applyAlignment="1">
      <alignment vertical="center"/>
    </xf>
    <xf numFmtId="0" fontId="4" fillId="3" borderId="0" xfId="0" applyFont="1" applyFill="1" applyAlignment="1">
      <alignment horizontal="center" vertical="center"/>
    </xf>
    <xf numFmtId="0" fontId="1" fillId="3" borderId="0" xfId="0" applyFont="1" applyFill="1" applyAlignment="1">
      <alignment horizontal="center" vertical="center" wrapText="1"/>
    </xf>
    <xf numFmtId="0" fontId="5" fillId="4" borderId="0" xfId="0" applyFont="1" applyFill="1" applyAlignment="1">
      <alignment vertical="center"/>
    </xf>
    <xf numFmtId="0" fontId="3" fillId="5" borderId="0" xfId="0" applyFont="1" applyFill="1" applyAlignment="1">
      <alignment horizontal="center" vertical="center"/>
    </xf>
    <xf numFmtId="0" fontId="1" fillId="5" borderId="0" xfId="0" applyFont="1" applyFill="1" applyAlignment="1">
      <alignment horizontal="center" vertical="center"/>
    </xf>
    <xf numFmtId="0" fontId="1" fillId="5" borderId="0" xfId="0" applyFont="1" applyFill="1" applyAlignment="1">
      <alignment vertical="center" wrapText="1"/>
    </xf>
    <xf numFmtId="0" fontId="6" fillId="5" borderId="0" xfId="0" applyFont="1" applyFill="1" applyAlignment="1">
      <alignment horizontal="center" vertical="center"/>
    </xf>
    <xf numFmtId="0" fontId="1" fillId="5" borderId="0" xfId="0" applyFont="1" applyFill="1" applyAlignment="1">
      <alignment horizontal="center" vertical="center" wrapText="1"/>
    </xf>
    <xf numFmtId="0" fontId="3" fillId="6" borderId="0" xfId="0" applyFont="1" applyFill="1" applyAlignment="1">
      <alignment horizontal="center" vertical="center" wrapText="1"/>
    </xf>
    <xf numFmtId="0" fontId="1" fillId="6" borderId="0" xfId="0" applyFont="1" applyFill="1" applyAlignment="1">
      <alignment horizontal="center" vertical="center"/>
    </xf>
    <xf numFmtId="0" fontId="1" fillId="6" borderId="0" xfId="0" applyFont="1" applyFill="1" applyAlignment="1">
      <alignment vertical="center" wrapText="1"/>
    </xf>
    <xf numFmtId="0" fontId="7" fillId="6" borderId="0" xfId="0" applyFont="1" applyFill="1" applyAlignment="1">
      <alignment horizontal="center" vertical="center"/>
    </xf>
    <xf numFmtId="0" fontId="1" fillId="6" borderId="0" xfId="0" applyFont="1" applyFill="1" applyAlignment="1">
      <alignment horizontal="center" vertical="center" wrapText="1"/>
    </xf>
    <xf numFmtId="0" fontId="8" fillId="6" borderId="0" xfId="0" applyFont="1" applyFill="1" applyAlignment="1">
      <alignment horizontal="center" vertical="center"/>
    </xf>
    <xf numFmtId="0" fontId="1" fillId="6" borderId="0" xfId="0" applyFont="1" applyFill="1" applyAlignment="1">
      <alignment horizontal="right" vertical="center" wrapText="1"/>
    </xf>
    <xf numFmtId="0" fontId="1" fillId="6" borderId="0" xfId="0" applyFont="1" applyFill="1" applyAlignment="1">
      <alignment horizontal="left" vertical="center"/>
    </xf>
    <xf numFmtId="0" fontId="3" fillId="7" borderId="0" xfId="0" applyFont="1" applyFill="1" applyAlignment="1">
      <alignment horizontal="center" vertical="center" wrapText="1"/>
    </xf>
    <xf numFmtId="0" fontId="1" fillId="7" borderId="0" xfId="0" applyFont="1" applyFill="1" applyAlignment="1">
      <alignment horizontal="center" vertical="center"/>
    </xf>
    <xf numFmtId="0" fontId="1" fillId="7" borderId="0" xfId="0" applyFont="1" applyFill="1" applyAlignment="1">
      <alignment vertical="center" wrapText="1"/>
    </xf>
    <xf numFmtId="0" fontId="9" fillId="7" borderId="0" xfId="0" applyFont="1" applyFill="1" applyAlignment="1">
      <alignment horizontal="center" vertical="center"/>
    </xf>
    <xf numFmtId="0" fontId="1" fillId="7" borderId="0" xfId="0" applyFont="1" applyFill="1" applyAlignment="1">
      <alignment horizontal="center" vertical="center" wrapText="1"/>
    </xf>
    <xf numFmtId="0" fontId="10" fillId="7" borderId="0" xfId="0" applyFont="1" applyFill="1" applyAlignment="1">
      <alignment horizontal="center" vertical="center"/>
    </xf>
    <xf numFmtId="0" fontId="1" fillId="7" borderId="0" xfId="0" applyFont="1" applyFill="1" applyAlignment="1">
      <alignment horizontal="right" vertical="center" wrapText="1"/>
    </xf>
    <xf numFmtId="0" fontId="1" fillId="7" borderId="0" xfId="0" applyFont="1" applyFill="1" applyAlignment="1">
      <alignment horizontal="left" vertical="center" wrapText="1"/>
    </xf>
    <xf numFmtId="0" fontId="3" fillId="8" borderId="0" xfId="0" applyFont="1" applyFill="1" applyAlignment="1">
      <alignment horizontal="center" vertical="center" wrapText="1"/>
    </xf>
    <xf numFmtId="0" fontId="1" fillId="8" borderId="0" xfId="0" applyFont="1" applyFill="1" applyAlignment="1">
      <alignment horizontal="center" vertical="center"/>
    </xf>
    <xf numFmtId="0" fontId="1" fillId="8" borderId="0" xfId="0" applyFont="1" applyFill="1" applyAlignment="1">
      <alignment vertical="center" wrapText="1"/>
    </xf>
    <xf numFmtId="0" fontId="11" fillId="8" borderId="0" xfId="0" applyFont="1" applyFill="1" applyAlignment="1">
      <alignment horizontal="center" vertical="center"/>
    </xf>
    <xf numFmtId="0" fontId="1" fillId="8" borderId="0" xfId="0" applyFont="1" applyFill="1" applyAlignment="1">
      <alignment horizontal="center" vertical="center" wrapText="1"/>
    </xf>
    <xf numFmtId="0" fontId="1" fillId="8" borderId="0" xfId="0" applyFont="1" applyFill="1" applyAlignment="1">
      <alignment horizontal="left" vertical="center"/>
    </xf>
    <xf numFmtId="0" fontId="3" fillId="9" borderId="0" xfId="0" applyFont="1" applyFill="1" applyAlignment="1">
      <alignment vertical="center"/>
    </xf>
    <xf numFmtId="0" fontId="1" fillId="10" borderId="0" xfId="0" applyFont="1" applyFill="1" applyAlignment="1">
      <alignment vertical="center"/>
    </xf>
    <xf numFmtId="0" fontId="1" fillId="10" borderId="0" xfId="0" applyFont="1" applyFill="1" applyAlignment="1">
      <alignment horizontal="center" vertical="center"/>
    </xf>
    <xf numFmtId="0" fontId="1" fillId="10" borderId="0" xfId="0" applyFont="1" applyFill="1" applyAlignment="1">
      <alignment vertical="center" wrapText="1"/>
    </xf>
    <xf numFmtId="0" fontId="14" fillId="10" borderId="0" xfId="0" applyFont="1" applyFill="1" applyAlignment="1">
      <alignment horizontal="center" vertical="center"/>
    </xf>
    <xf numFmtId="0" fontId="1" fillId="10" borderId="0" xfId="0" applyFont="1" applyFill="1" applyAlignment="1">
      <alignment horizontal="center" vertical="center" wrapText="1"/>
    </xf>
    <xf numFmtId="0" fontId="3" fillId="10" borderId="0" xfId="0" applyFont="1" applyFill="1" applyAlignment="1">
      <alignment horizontal="center" vertical="center" wrapText="1"/>
    </xf>
    <xf numFmtId="0" fontId="15" fillId="10" borderId="0" xfId="0" applyFont="1" applyFill="1" applyAlignment="1">
      <alignment horizontal="center" vertical="center"/>
    </xf>
    <xf numFmtId="0" fontId="3" fillId="11" borderId="0" xfId="0" applyFont="1" applyFill="1" applyAlignment="1">
      <alignment horizontal="center" vertical="center" wrapText="1"/>
    </xf>
    <xf numFmtId="0" fontId="1" fillId="11" borderId="0" xfId="0" applyFont="1" applyFill="1" applyAlignment="1">
      <alignment horizontal="center" vertical="center"/>
    </xf>
    <xf numFmtId="0" fontId="1" fillId="11" borderId="0" xfId="0" applyFont="1" applyFill="1" applyAlignment="1">
      <alignment vertical="center" wrapText="1"/>
    </xf>
    <xf numFmtId="0" fontId="16" fillId="11" borderId="0" xfId="0" applyFont="1" applyFill="1" applyAlignment="1">
      <alignment horizontal="center" vertical="center"/>
    </xf>
    <xf numFmtId="0" fontId="1" fillId="11" borderId="0" xfId="0" applyFont="1" applyFill="1" applyAlignment="1">
      <alignment horizontal="center" vertical="center" wrapText="1"/>
    </xf>
    <xf numFmtId="0" fontId="1" fillId="11" borderId="0" xfId="0" applyFont="1" applyFill="1" applyAlignment="1">
      <alignment vertical="center"/>
    </xf>
    <xf numFmtId="0" fontId="17" fillId="11" borderId="0" xfId="0" applyFont="1" applyFill="1" applyAlignment="1">
      <alignment horizontal="center" vertical="center"/>
    </xf>
    <xf numFmtId="0" fontId="3" fillId="12" borderId="0" xfId="0" applyFont="1" applyFill="1" applyAlignment="1">
      <alignment horizontal="center" vertical="center"/>
    </xf>
    <xf numFmtId="0" fontId="1" fillId="12" borderId="0" xfId="0" applyFont="1" applyFill="1" applyAlignment="1">
      <alignment horizontal="center" vertical="center"/>
    </xf>
    <xf numFmtId="0" fontId="1" fillId="12" borderId="0" xfId="0" applyFont="1" applyFill="1" applyAlignment="1">
      <alignment vertical="center" wrapText="1"/>
    </xf>
    <xf numFmtId="0" fontId="18" fillId="12" borderId="0" xfId="0" applyFont="1" applyFill="1" applyAlignment="1">
      <alignment horizontal="center" vertical="center"/>
    </xf>
    <xf numFmtId="0" fontId="1" fillId="12" borderId="0" xfId="0" applyFont="1" applyFill="1" applyAlignment="1">
      <alignment horizontal="center" vertical="center" wrapText="1"/>
    </xf>
    <xf numFmtId="0" fontId="1" fillId="12" borderId="0" xfId="0" applyFont="1" applyFill="1" applyAlignment="1">
      <alignment vertical="center"/>
    </xf>
    <xf numFmtId="0" fontId="1" fillId="13" borderId="0" xfId="0" applyFont="1" applyFill="1"/>
    <xf numFmtId="0" fontId="20" fillId="14" borderId="1" xfId="0" applyFont="1" applyFill="1" applyBorder="1" applyAlignment="1">
      <alignment horizontal="center" vertical="center" wrapText="1"/>
    </xf>
    <xf numFmtId="0" fontId="20" fillId="14" borderId="2" xfId="0" applyFont="1" applyFill="1" applyBorder="1" applyAlignment="1">
      <alignment horizontal="center" vertical="center" wrapText="1"/>
    </xf>
    <xf numFmtId="0" fontId="21" fillId="0" borderId="4" xfId="0" applyFont="1" applyBorder="1" applyAlignment="1">
      <alignment vertical="center" wrapText="1"/>
    </xf>
    <xf numFmtId="0" fontId="22" fillId="0" borderId="4" xfId="0" applyFont="1" applyBorder="1" applyAlignment="1">
      <alignment vertical="center" wrapText="1"/>
    </xf>
    <xf numFmtId="0" fontId="1" fillId="0" borderId="6" xfId="0" applyFont="1" applyBorder="1" applyAlignment="1">
      <alignment vertical="center"/>
    </xf>
    <xf numFmtId="0" fontId="13" fillId="0" borderId="0" xfId="0" applyFont="1" applyAlignment="1">
      <alignment vertical="center"/>
    </xf>
    <xf numFmtId="0" fontId="25" fillId="3" borderId="5" xfId="0" applyFont="1" applyFill="1" applyBorder="1" applyAlignment="1">
      <alignment vertical="center"/>
    </xf>
    <xf numFmtId="0" fontId="25" fillId="3" borderId="7" xfId="0" applyFont="1" applyFill="1" applyBorder="1" applyAlignment="1">
      <alignment horizontal="center" vertical="center"/>
    </xf>
    <xf numFmtId="0" fontId="13" fillId="0" borderId="7" xfId="0" applyFont="1" applyBorder="1" applyAlignment="1">
      <alignment vertical="center"/>
    </xf>
    <xf numFmtId="0" fontId="1" fillId="0" borderId="7" xfId="0" applyFont="1" applyBorder="1" applyAlignment="1">
      <alignment vertical="center"/>
    </xf>
    <xf numFmtId="0" fontId="1" fillId="5" borderId="0" xfId="0" applyFont="1" applyFill="1" applyAlignment="1">
      <alignment vertical="center"/>
    </xf>
    <xf numFmtId="0" fontId="23" fillId="3" borderId="0" xfId="0" applyFont="1" applyFill="1" applyAlignment="1">
      <alignment vertical="center"/>
    </xf>
    <xf numFmtId="0" fontId="26" fillId="3" borderId="6" xfId="0" applyFont="1" applyFill="1" applyBorder="1" applyAlignment="1">
      <alignment horizontal="right" vertical="center"/>
    </xf>
    <xf numFmtId="0" fontId="13" fillId="3" borderId="0" xfId="0" applyFont="1" applyFill="1" applyAlignment="1">
      <alignment vertical="center"/>
    </xf>
    <xf numFmtId="0" fontId="1" fillId="3" borderId="6" xfId="0" applyFont="1" applyFill="1" applyBorder="1" applyAlignment="1">
      <alignment vertical="center"/>
    </xf>
    <xf numFmtId="0" fontId="28" fillId="6" borderId="0" xfId="0" applyFont="1" applyFill="1"/>
    <xf numFmtId="0" fontId="28" fillId="6" borderId="0" xfId="0" applyFont="1" applyFill="1" applyAlignment="1">
      <alignment horizontal="center"/>
    </xf>
    <xf numFmtId="0" fontId="5" fillId="6" borderId="0" xfId="0" applyFont="1" applyFill="1"/>
    <xf numFmtId="164" fontId="5" fillId="0" borderId="0" xfId="0" applyNumberFormat="1" applyFont="1"/>
    <xf numFmtId="10" fontId="5" fillId="15" borderId="0" xfId="0" applyNumberFormat="1" applyFont="1" applyFill="1"/>
    <xf numFmtId="0" fontId="28" fillId="16" borderId="0" xfId="0" applyFont="1" applyFill="1"/>
    <xf numFmtId="164" fontId="5" fillId="16" borderId="0" xfId="0" applyNumberFormat="1" applyFont="1" applyFill="1"/>
    <xf numFmtId="164" fontId="5" fillId="15" borderId="0" xfId="0" applyNumberFormat="1" applyFont="1" applyFill="1"/>
    <xf numFmtId="164" fontId="28" fillId="6" borderId="0" xfId="0" applyNumberFormat="1" applyFont="1" applyFill="1" applyAlignment="1">
      <alignment horizontal="center"/>
    </xf>
    <xf numFmtId="9" fontId="5" fillId="15" borderId="0" xfId="0" applyNumberFormat="1" applyFont="1" applyFill="1"/>
    <xf numFmtId="164" fontId="28" fillId="16" borderId="0" xfId="0" applyNumberFormat="1" applyFont="1" applyFill="1"/>
    <xf numFmtId="9" fontId="28" fillId="17" borderId="0" xfId="0" applyNumberFormat="1" applyFont="1" applyFill="1"/>
    <xf numFmtId="9" fontId="28" fillId="15" borderId="0" xfId="0" applyNumberFormat="1" applyFont="1" applyFill="1"/>
    <xf numFmtId="0" fontId="5" fillId="0" borderId="0" xfId="0" applyFont="1"/>
    <xf numFmtId="0" fontId="27" fillId="6" borderId="0" xfId="0" applyFont="1" applyFill="1"/>
    <xf numFmtId="0" fontId="29" fillId="6" borderId="0" xfId="0" applyFont="1" applyFill="1"/>
    <xf numFmtId="0" fontId="29" fillId="17" borderId="0" xfId="0" applyFont="1" applyFill="1"/>
    <xf numFmtId="0" fontId="5" fillId="17" borderId="0" xfId="0" applyFont="1" applyFill="1"/>
    <xf numFmtId="0" fontId="29" fillId="16" borderId="0" xfId="0" applyFont="1" applyFill="1"/>
    <xf numFmtId="0" fontId="5" fillId="16" borderId="0" xfId="0" applyFont="1" applyFill="1"/>
    <xf numFmtId="0" fontId="1" fillId="0" borderId="0" xfId="0" applyFont="1"/>
    <xf numFmtId="0" fontId="25" fillId="0" borderId="0" xfId="0" applyFont="1" applyAlignment="1">
      <alignment horizontal="center"/>
    </xf>
    <xf numFmtId="0" fontId="3" fillId="6" borderId="0" xfId="0" applyFont="1" applyFill="1"/>
    <xf numFmtId="0" fontId="3" fillId="6" borderId="0" xfId="0" applyFont="1" applyFill="1" applyAlignment="1">
      <alignment horizontal="center"/>
    </xf>
    <xf numFmtId="0" fontId="1" fillId="6" borderId="0" xfId="0" applyFont="1" applyFill="1"/>
    <xf numFmtId="164" fontId="1" fillId="0" borderId="0" xfId="0" applyNumberFormat="1" applyFont="1"/>
    <xf numFmtId="164" fontId="1" fillId="0" borderId="0" xfId="0" applyNumberFormat="1" applyFont="1" applyAlignment="1">
      <alignment horizontal="right"/>
    </xf>
    <xf numFmtId="10" fontId="5" fillId="0" borderId="0" xfId="0" applyNumberFormat="1" applyFont="1"/>
    <xf numFmtId="164" fontId="1" fillId="16" borderId="0" xfId="0" applyNumberFormat="1" applyFont="1" applyFill="1" applyAlignment="1">
      <alignment horizontal="right"/>
    </xf>
    <xf numFmtId="164" fontId="1" fillId="15" borderId="0" xfId="0" applyNumberFormat="1" applyFont="1" applyFill="1" applyAlignment="1">
      <alignment horizontal="right"/>
    </xf>
    <xf numFmtId="10" fontId="28" fillId="15" borderId="0" xfId="0" applyNumberFormat="1" applyFont="1" applyFill="1"/>
    <xf numFmtId="0" fontId="13" fillId="0" borderId="0" xfId="0" applyFont="1"/>
    <xf numFmtId="0" fontId="30" fillId="0" borderId="0" xfId="0" applyFont="1"/>
    <xf numFmtId="0" fontId="31" fillId="0" borderId="0" xfId="0" applyFont="1"/>
    <xf numFmtId="1" fontId="31" fillId="0" borderId="0" xfId="0" applyNumberFormat="1" applyFont="1" applyAlignment="1">
      <alignment horizontal="center" wrapText="1"/>
    </xf>
    <xf numFmtId="10" fontId="31" fillId="0" borderId="0" xfId="0" applyNumberFormat="1" applyFont="1" applyAlignment="1">
      <alignment horizontal="center" wrapText="1"/>
    </xf>
    <xf numFmtId="0" fontId="31" fillId="6" borderId="8" xfId="0" applyFont="1" applyFill="1" applyBorder="1"/>
    <xf numFmtId="1" fontId="31" fillId="6" borderId="9" xfId="0" applyNumberFormat="1" applyFont="1" applyFill="1" applyBorder="1" applyAlignment="1">
      <alignment horizontal="center" wrapText="1"/>
    </xf>
    <xf numFmtId="0" fontId="31" fillId="6" borderId="9" xfId="0" applyFont="1" applyFill="1" applyBorder="1" applyAlignment="1">
      <alignment horizontal="center" wrapText="1"/>
    </xf>
    <xf numFmtId="0" fontId="30" fillId="0" borderId="5" xfId="0" applyFont="1" applyBorder="1"/>
    <xf numFmtId="0" fontId="30" fillId="0" borderId="11" xfId="0" applyFont="1" applyBorder="1" applyAlignment="1">
      <alignment wrapText="1"/>
    </xf>
    <xf numFmtId="1" fontId="30" fillId="15" borderId="4" xfId="0" applyNumberFormat="1" applyFont="1" applyFill="1" applyBorder="1"/>
    <xf numFmtId="10" fontId="30" fillId="18" borderId="4" xfId="0" applyNumberFormat="1" applyFont="1" applyFill="1" applyBorder="1"/>
    <xf numFmtId="1" fontId="30" fillId="0" borderId="12" xfId="0" applyNumberFormat="1" applyFont="1" applyBorder="1"/>
    <xf numFmtId="0" fontId="30" fillId="0" borderId="12" xfId="0" applyFont="1" applyBorder="1"/>
    <xf numFmtId="10" fontId="30" fillId="19" borderId="4" xfId="0" applyNumberFormat="1" applyFont="1" applyFill="1" applyBorder="1" applyAlignment="1">
      <alignment horizontal="center"/>
    </xf>
    <xf numFmtId="10" fontId="30" fillId="17" borderId="4" xfId="0" applyNumberFormat="1" applyFont="1" applyFill="1" applyBorder="1"/>
    <xf numFmtId="1" fontId="30" fillId="19" borderId="12" xfId="0" applyNumberFormat="1" applyFont="1" applyFill="1" applyBorder="1" applyAlignment="1">
      <alignment horizontal="right"/>
    </xf>
    <xf numFmtId="1" fontId="30" fillId="19" borderId="4" xfId="0" applyNumberFormat="1" applyFont="1" applyFill="1" applyBorder="1" applyAlignment="1">
      <alignment horizontal="right"/>
    </xf>
    <xf numFmtId="1" fontId="30" fillId="15" borderId="4" xfId="0" applyNumberFormat="1" applyFont="1" applyFill="1" applyBorder="1" applyAlignment="1">
      <alignment horizontal="right"/>
    </xf>
    <xf numFmtId="10" fontId="30" fillId="19" borderId="4" xfId="0" applyNumberFormat="1" applyFont="1" applyFill="1" applyBorder="1" applyAlignment="1">
      <alignment horizontal="right"/>
    </xf>
    <xf numFmtId="0" fontId="30" fillId="0" borderId="13" xfId="0" applyFont="1" applyBorder="1" applyAlignment="1">
      <alignment wrapText="1"/>
    </xf>
    <xf numFmtId="1" fontId="30" fillId="16" borderId="14" xfId="0" applyNumberFormat="1" applyFont="1" applyFill="1" applyBorder="1"/>
    <xf numFmtId="10" fontId="30" fillId="19" borderId="14" xfId="0" applyNumberFormat="1" applyFont="1" applyFill="1" applyBorder="1" applyAlignment="1">
      <alignment horizontal="center"/>
    </xf>
    <xf numFmtId="10" fontId="30" fillId="19" borderId="14" xfId="0" applyNumberFormat="1" applyFont="1" applyFill="1" applyBorder="1" applyAlignment="1">
      <alignment horizontal="right"/>
    </xf>
    <xf numFmtId="1" fontId="30" fillId="19" borderId="7" xfId="0" applyNumberFormat="1" applyFont="1" applyFill="1" applyBorder="1" applyAlignment="1">
      <alignment horizontal="right"/>
    </xf>
    <xf numFmtId="0" fontId="30" fillId="0" borderId="7" xfId="0" applyFont="1" applyBorder="1"/>
    <xf numFmtId="1" fontId="30" fillId="0" borderId="5" xfId="0" applyNumberFormat="1" applyFont="1" applyBorder="1"/>
    <xf numFmtId="10" fontId="30" fillId="0" borderId="5" xfId="0" applyNumberFormat="1" applyFont="1" applyBorder="1"/>
    <xf numFmtId="0" fontId="30" fillId="0" borderId="6" xfId="0" applyFont="1" applyBorder="1"/>
    <xf numFmtId="1" fontId="32" fillId="19" borderId="7" xfId="0" applyNumberFormat="1" applyFont="1" applyFill="1" applyBorder="1" applyAlignment="1">
      <alignment horizontal="right"/>
    </xf>
    <xf numFmtId="10" fontId="32" fillId="19" borderId="7" xfId="0" applyNumberFormat="1" applyFont="1" applyFill="1" applyBorder="1" applyAlignment="1">
      <alignment horizontal="center"/>
    </xf>
    <xf numFmtId="10" fontId="32" fillId="19" borderId="7" xfId="0" applyNumberFormat="1" applyFont="1" applyFill="1" applyBorder="1" applyAlignment="1">
      <alignment horizontal="right"/>
    </xf>
    <xf numFmtId="0" fontId="32" fillId="19" borderId="13" xfId="0" applyFont="1" applyFill="1" applyBorder="1" applyAlignment="1">
      <alignment wrapText="1"/>
    </xf>
    <xf numFmtId="1" fontId="32" fillId="19" borderId="14" xfId="0" applyNumberFormat="1" applyFont="1" applyFill="1" applyBorder="1" applyAlignment="1">
      <alignment horizontal="center"/>
    </xf>
    <xf numFmtId="10" fontId="32" fillId="19" borderId="14" xfId="0" applyNumberFormat="1" applyFont="1" applyFill="1" applyBorder="1" applyAlignment="1">
      <alignment horizontal="center"/>
    </xf>
    <xf numFmtId="0" fontId="32" fillId="19" borderId="14" xfId="0" applyFont="1" applyFill="1" applyBorder="1" applyAlignment="1">
      <alignment horizontal="center"/>
    </xf>
    <xf numFmtId="1" fontId="30" fillId="0" borderId="0" xfId="0" applyNumberFormat="1" applyFont="1"/>
    <xf numFmtId="0" fontId="33" fillId="0" borderId="0" xfId="0" applyFont="1"/>
    <xf numFmtId="0" fontId="33" fillId="0" borderId="11" xfId="0" applyFont="1" applyBorder="1"/>
    <xf numFmtId="0" fontId="33" fillId="0" borderId="4" xfId="0" applyFont="1" applyBorder="1"/>
    <xf numFmtId="0" fontId="33" fillId="0" borderId="12" xfId="0" applyFont="1" applyBorder="1"/>
    <xf numFmtId="0" fontId="33" fillId="0" borderId="19" xfId="0" applyFont="1" applyBorder="1"/>
    <xf numFmtId="0" fontId="33" fillId="0" borderId="11" xfId="0" applyFont="1" applyBorder="1" applyAlignment="1">
      <alignment vertical="center"/>
    </xf>
    <xf numFmtId="0" fontId="33" fillId="0" borderId="4" xfId="0" applyFont="1" applyBorder="1" applyAlignment="1">
      <alignment vertical="center"/>
    </xf>
    <xf numFmtId="0" fontId="33" fillId="0" borderId="12" xfId="0" applyFont="1" applyBorder="1" applyAlignment="1">
      <alignment vertical="center" wrapText="1"/>
    </xf>
    <xf numFmtId="0" fontId="33" fillId="0" borderId="4" xfId="0" applyFont="1" applyBorder="1" applyAlignment="1">
      <alignment vertical="center" wrapText="1"/>
    </xf>
    <xf numFmtId="0" fontId="33" fillId="0" borderId="15" xfId="0" applyFont="1" applyBorder="1"/>
    <xf numFmtId="0" fontId="33" fillId="0" borderId="17" xfId="0" applyFont="1" applyBorder="1"/>
    <xf numFmtId="0" fontId="33" fillId="13" borderId="19" xfId="0" applyFont="1" applyFill="1" applyBorder="1"/>
    <xf numFmtId="0" fontId="33" fillId="0" borderId="13" xfId="0" applyFont="1" applyBorder="1" applyAlignment="1">
      <alignment vertical="center"/>
    </xf>
    <xf numFmtId="0" fontId="33" fillId="0" borderId="14" xfId="0" applyFont="1" applyBorder="1" applyAlignment="1">
      <alignment vertical="center"/>
    </xf>
    <xf numFmtId="0" fontId="33" fillId="0" borderId="7" xfId="0" applyFont="1" applyBorder="1" applyAlignment="1">
      <alignment vertical="center"/>
    </xf>
    <xf numFmtId="0" fontId="33" fillId="0" borderId="5" xfId="0" applyFont="1" applyBorder="1"/>
    <xf numFmtId="0" fontId="33" fillId="0" borderId="20" xfId="0" applyFont="1" applyBorder="1"/>
    <xf numFmtId="0" fontId="33" fillId="0" borderId="7" xfId="0" applyFont="1" applyBorder="1"/>
    <xf numFmtId="0" fontId="33" fillId="0" borderId="13" xfId="0" applyFont="1" applyBorder="1"/>
    <xf numFmtId="0" fontId="33" fillId="0" borderId="4" xfId="0" applyFont="1" applyBorder="1" applyAlignment="1">
      <alignment wrapText="1"/>
    </xf>
    <xf numFmtId="0" fontId="33" fillId="0" borderId="14" xfId="0" applyFont="1" applyBorder="1"/>
    <xf numFmtId="0" fontId="30" fillId="0" borderId="0" xfId="0" applyFont="1" applyAlignment="1">
      <alignment horizontal="left" wrapText="1"/>
    </xf>
    <xf numFmtId="10" fontId="30" fillId="20" borderId="4" xfId="0" applyNumberFormat="1" applyFont="1" applyFill="1" applyBorder="1"/>
    <xf numFmtId="10" fontId="30" fillId="0" borderId="4" xfId="0" applyNumberFormat="1" applyFont="1" applyBorder="1"/>
    <xf numFmtId="0" fontId="34" fillId="5" borderId="0" xfId="0" applyFont="1" applyFill="1" applyAlignment="1">
      <alignment horizontal="left" wrapText="1"/>
    </xf>
    <xf numFmtId="10" fontId="30" fillId="15" borderId="14" xfId="0" applyNumberFormat="1" applyFont="1" applyFill="1" applyBorder="1"/>
    <xf numFmtId="164" fontId="34" fillId="5" borderId="0" xfId="0" applyNumberFormat="1" applyFont="1" applyFill="1" applyAlignment="1">
      <alignment horizontal="left" wrapText="1"/>
    </xf>
    <xf numFmtId="1" fontId="32" fillId="19" borderId="7" xfId="0" applyNumberFormat="1" applyFont="1" applyFill="1" applyBorder="1" applyAlignment="1">
      <alignment horizontal="center"/>
    </xf>
    <xf numFmtId="0" fontId="33" fillId="0" borderId="6" xfId="0" applyFont="1" applyBorder="1"/>
    <xf numFmtId="0" fontId="33" fillId="0" borderId="16" xfId="0" applyFont="1" applyBorder="1"/>
    <xf numFmtId="0" fontId="33" fillId="0" borderId="21" xfId="0" applyFont="1" applyBorder="1"/>
    <xf numFmtId="9" fontId="30" fillId="0" borderId="4" xfId="0" applyNumberFormat="1" applyFont="1" applyBorder="1"/>
    <xf numFmtId="0" fontId="28" fillId="11" borderId="0" xfId="0" applyFont="1" applyFill="1" applyAlignment="1">
      <alignment vertical="center"/>
    </xf>
    <xf numFmtId="0" fontId="5" fillId="11" borderId="0" xfId="0" applyFont="1" applyFill="1" applyAlignment="1">
      <alignment vertical="center"/>
    </xf>
    <xf numFmtId="0" fontId="35" fillId="11" borderId="0" xfId="0" applyFont="1" applyFill="1" applyAlignment="1">
      <alignment horizontal="center" vertical="center" wrapText="1"/>
    </xf>
    <xf numFmtId="0" fontId="36" fillId="6" borderId="0" xfId="0" applyFont="1" applyFill="1"/>
    <xf numFmtId="9" fontId="36" fillId="6" borderId="0" xfId="0" applyNumberFormat="1" applyFont="1" applyFill="1"/>
    <xf numFmtId="0" fontId="28" fillId="0" borderId="0" xfId="0" applyFont="1"/>
    <xf numFmtId="0" fontId="28" fillId="0" borderId="0" xfId="0" applyFont="1" applyAlignment="1">
      <alignment horizontal="center"/>
    </xf>
    <xf numFmtId="9" fontId="5" fillId="0" borderId="0" xfId="0" applyNumberFormat="1" applyFont="1" applyAlignment="1">
      <alignment horizontal="center"/>
    </xf>
    <xf numFmtId="10" fontId="5" fillId="16" borderId="0" xfId="0" applyNumberFormat="1" applyFont="1" applyFill="1"/>
    <xf numFmtId="0" fontId="3" fillId="0" borderId="29" xfId="0" applyFont="1" applyBorder="1"/>
    <xf numFmtId="0" fontId="1" fillId="0" borderId="30" xfId="0" applyFont="1" applyBorder="1" applyAlignment="1">
      <alignment horizontal="right"/>
    </xf>
    <xf numFmtId="0" fontId="37" fillId="5" borderId="0" xfId="0" applyFont="1" applyFill="1"/>
    <xf numFmtId="0" fontId="5" fillId="5" borderId="0" xfId="0" applyFont="1" applyFill="1"/>
    <xf numFmtId="0" fontId="3" fillId="0" borderId="0" xfId="0" applyFont="1"/>
    <xf numFmtId="0" fontId="38" fillId="0" borderId="0" xfId="0" applyFont="1"/>
    <xf numFmtId="0" fontId="1" fillId="0" borderId="21" xfId="0" applyFont="1" applyBorder="1"/>
    <xf numFmtId="0" fontId="39" fillId="5" borderId="18" xfId="0" applyFont="1" applyFill="1" applyBorder="1"/>
    <xf numFmtId="0" fontId="1" fillId="5" borderId="10" xfId="0" applyFont="1" applyFill="1" applyBorder="1"/>
    <xf numFmtId="0" fontId="3" fillId="13" borderId="28" xfId="0" applyFont="1" applyFill="1" applyBorder="1"/>
    <xf numFmtId="0" fontId="1" fillId="0" borderId="4" xfId="0" applyFont="1" applyBorder="1"/>
    <xf numFmtId="0" fontId="40" fillId="0" borderId="0" xfId="0" applyFont="1"/>
    <xf numFmtId="0" fontId="3" fillId="13" borderId="31" xfId="0" applyFont="1" applyFill="1" applyBorder="1"/>
    <xf numFmtId="0" fontId="1" fillId="0" borderId="32" xfId="0" applyFont="1" applyBorder="1"/>
    <xf numFmtId="165" fontId="3" fillId="0" borderId="0" xfId="0" applyNumberFormat="1" applyFont="1"/>
    <xf numFmtId="0" fontId="29" fillId="0" borderId="0" xfId="0" applyFont="1"/>
    <xf numFmtId="0" fontId="29" fillId="6" borderId="0" xfId="0" applyFont="1" applyFill="1" applyAlignment="1">
      <alignment horizontal="center"/>
    </xf>
    <xf numFmtId="0" fontId="29" fillId="0" borderId="0" xfId="0" applyFont="1" applyAlignment="1">
      <alignment horizontal="center"/>
    </xf>
    <xf numFmtId="0" fontId="27" fillId="5" borderId="0" xfId="0" applyFont="1" applyFill="1"/>
    <xf numFmtId="0" fontId="29" fillId="0" borderId="18" xfId="0" applyFont="1" applyBorder="1"/>
    <xf numFmtId="0" fontId="5" fillId="0" borderId="9" xfId="0" applyFont="1" applyBorder="1"/>
    <xf numFmtId="0" fontId="5" fillId="0" borderId="10" xfId="0" applyFont="1" applyBorder="1"/>
    <xf numFmtId="0" fontId="29" fillId="0" borderId="34" xfId="0" applyFont="1" applyBorder="1"/>
    <xf numFmtId="0" fontId="5" fillId="0" borderId="6" xfId="0" applyFont="1" applyBorder="1"/>
    <xf numFmtId="165" fontId="29" fillId="0" borderId="6" xfId="0" applyNumberFormat="1" applyFont="1" applyBorder="1"/>
    <xf numFmtId="0" fontId="29" fillId="5" borderId="20" xfId="0" applyFont="1" applyFill="1" applyBorder="1"/>
    <xf numFmtId="0" fontId="29" fillId="5" borderId="5" xfId="0" applyFont="1" applyFill="1" applyBorder="1"/>
    <xf numFmtId="0" fontId="29" fillId="5" borderId="7" xfId="0" applyFont="1" applyFill="1" applyBorder="1"/>
    <xf numFmtId="0" fontId="29" fillId="0" borderId="9" xfId="0" applyFont="1" applyBorder="1"/>
    <xf numFmtId="0" fontId="29" fillId="0" borderId="10" xfId="0" applyFont="1" applyBorder="1"/>
    <xf numFmtId="0" fontId="29" fillId="0" borderId="35" xfId="0" applyFont="1" applyBorder="1"/>
    <xf numFmtId="0" fontId="29" fillId="0" borderId="36" xfId="0" applyFont="1" applyBorder="1"/>
    <xf numFmtId="0" fontId="29" fillId="0" borderId="37" xfId="0" applyFont="1" applyBorder="1"/>
    <xf numFmtId="0" fontId="41" fillId="0" borderId="0" xfId="0" applyFont="1" applyAlignment="1">
      <alignment vertical="center" wrapText="1"/>
    </xf>
    <xf numFmtId="0" fontId="1" fillId="21" borderId="7" xfId="0" applyFont="1" applyFill="1" applyBorder="1" applyAlignment="1">
      <alignment vertical="center"/>
    </xf>
    <xf numFmtId="0" fontId="1" fillId="22" borderId="7" xfId="0" applyFont="1" applyFill="1" applyBorder="1" applyAlignment="1">
      <alignment vertical="center"/>
    </xf>
    <xf numFmtId="0" fontId="13" fillId="21" borderId="7" xfId="0" applyFont="1" applyFill="1" applyBorder="1" applyAlignment="1">
      <alignment vertical="center"/>
    </xf>
    <xf numFmtId="44" fontId="0" fillId="0" borderId="0" xfId="0" applyNumberFormat="1" applyAlignment="1">
      <alignment vertical="top"/>
    </xf>
    <xf numFmtId="0" fontId="0" fillId="23" borderId="0" xfId="0" applyFill="1"/>
    <xf numFmtId="164" fontId="47" fillId="6" borderId="0" xfId="0" applyNumberFormat="1" applyFont="1" applyFill="1" applyAlignment="1">
      <alignment horizontal="right"/>
    </xf>
    <xf numFmtId="164" fontId="48" fillId="16" borderId="0" xfId="0" applyNumberFormat="1" applyFont="1" applyFill="1"/>
    <xf numFmtId="0" fontId="49" fillId="6" borderId="0" xfId="0" applyFont="1" applyFill="1" applyAlignment="1">
      <alignment horizontal="center"/>
    </xf>
    <xf numFmtId="0" fontId="45" fillId="6" borderId="0" xfId="0" applyFont="1" applyFill="1"/>
    <xf numFmtId="164" fontId="45" fillId="0" borderId="0" xfId="0" applyNumberFormat="1" applyFont="1"/>
    <xf numFmtId="0" fontId="45" fillId="0" borderId="0" xfId="0" applyFont="1"/>
    <xf numFmtId="0" fontId="49" fillId="6" borderId="0" xfId="0" applyFont="1" applyFill="1"/>
    <xf numFmtId="0" fontId="49" fillId="0" borderId="0" xfId="0" applyFont="1"/>
    <xf numFmtId="0" fontId="46" fillId="0" borderId="0" xfId="0" applyFont="1"/>
    <xf numFmtId="0" fontId="47" fillId="6" borderId="0" xfId="0" applyFont="1" applyFill="1"/>
    <xf numFmtId="0" fontId="1" fillId="0" borderId="11" xfId="0" applyFont="1" applyBorder="1" applyAlignment="1">
      <alignment wrapText="1"/>
    </xf>
    <xf numFmtId="0" fontId="1" fillId="0" borderId="13" xfId="0" applyFont="1" applyBorder="1" applyAlignment="1">
      <alignment wrapText="1"/>
    </xf>
    <xf numFmtId="0" fontId="48" fillId="16" borderId="0" xfId="0" applyFont="1" applyFill="1"/>
    <xf numFmtId="9" fontId="48" fillId="15" borderId="0" xfId="0" applyNumberFormat="1" applyFont="1" applyFill="1"/>
    <xf numFmtId="0" fontId="45" fillId="24" borderId="0" xfId="0" applyFont="1" applyFill="1" applyAlignment="1">
      <alignment horizontal="center"/>
    </xf>
    <xf numFmtId="164" fontId="1" fillId="24" borderId="0" xfId="0" applyNumberFormat="1" applyFont="1" applyFill="1" applyAlignment="1">
      <alignment horizontal="center"/>
    </xf>
    <xf numFmtId="10" fontId="5" fillId="21" borderId="0" xfId="0" applyNumberFormat="1" applyFont="1" applyFill="1"/>
    <xf numFmtId="164" fontId="0" fillId="0" borderId="0" xfId="0" applyNumberFormat="1"/>
    <xf numFmtId="1" fontId="51" fillId="6" borderId="9" xfId="0" applyNumberFormat="1" applyFont="1" applyFill="1" applyBorder="1" applyAlignment="1">
      <alignment horizontal="center" wrapText="1"/>
    </xf>
    <xf numFmtId="0" fontId="52" fillId="0" borderId="0" xfId="0" applyFont="1"/>
    <xf numFmtId="164" fontId="52" fillId="0" borderId="0" xfId="0" applyNumberFormat="1" applyFont="1"/>
    <xf numFmtId="0" fontId="53" fillId="0" borderId="0" xfId="0" applyFont="1"/>
    <xf numFmtId="165" fontId="53" fillId="0" borderId="0" xfId="0" applyNumberFormat="1" applyFont="1"/>
    <xf numFmtId="0" fontId="49" fillId="6" borderId="0" xfId="0" applyFont="1" applyFill="1" applyAlignment="1">
      <alignment horizontal="center" wrapText="1"/>
    </xf>
    <xf numFmtId="0" fontId="48" fillId="6" borderId="0" xfId="0" applyFont="1" applyFill="1" applyAlignment="1">
      <alignment horizontal="center" wrapText="1"/>
    </xf>
    <xf numFmtId="166" fontId="0" fillId="0" borderId="0" xfId="0" applyNumberFormat="1" applyAlignment="1">
      <alignment vertical="top"/>
    </xf>
    <xf numFmtId="164" fontId="54" fillId="0" borderId="0" xfId="0" applyNumberFormat="1" applyFont="1"/>
    <xf numFmtId="0" fontId="1" fillId="25" borderId="0" xfId="0" applyFont="1" applyFill="1"/>
    <xf numFmtId="0" fontId="1" fillId="26" borderId="0" xfId="0" applyFont="1" applyFill="1"/>
    <xf numFmtId="0" fontId="0" fillId="26" borderId="0" xfId="0" applyFill="1"/>
    <xf numFmtId="164" fontId="5" fillId="21" borderId="0" xfId="0" applyNumberFormat="1" applyFont="1" applyFill="1"/>
    <xf numFmtId="164" fontId="5" fillId="27" borderId="0" xfId="0" applyNumberFormat="1" applyFont="1" applyFill="1"/>
    <xf numFmtId="0" fontId="28" fillId="6" borderId="0" xfId="0" applyFont="1" applyFill="1" applyAlignment="1">
      <alignment horizontal="center" wrapText="1"/>
    </xf>
    <xf numFmtId="164" fontId="28" fillId="15" borderId="0" xfId="0" applyNumberFormat="1" applyFont="1" applyFill="1"/>
    <xf numFmtId="164" fontId="49" fillId="0" borderId="0" xfId="0" applyNumberFormat="1" applyFont="1"/>
    <xf numFmtId="10" fontId="49" fillId="0" borderId="0" xfId="0" applyNumberFormat="1" applyFont="1"/>
    <xf numFmtId="164" fontId="57" fillId="0" borderId="0" xfId="0" applyNumberFormat="1" applyFont="1"/>
    <xf numFmtId="0" fontId="3" fillId="11" borderId="0" xfId="0" applyFont="1" applyFill="1" applyAlignment="1">
      <alignment horizontal="center" vertical="center" wrapText="1"/>
    </xf>
    <xf numFmtId="0" fontId="0" fillId="0" borderId="0" xfId="0"/>
    <xf numFmtId="0" fontId="2" fillId="0" borderId="0" xfId="0" applyFont="1" applyAlignment="1">
      <alignment horizontal="center" vertical="center"/>
    </xf>
    <xf numFmtId="0" fontId="3" fillId="3" borderId="0" xfId="0" applyFont="1" applyFill="1" applyAlignment="1">
      <alignment horizontal="center" vertical="center" wrapText="1"/>
    </xf>
    <xf numFmtId="0" fontId="3" fillId="5" borderId="0" xfId="0" applyFont="1" applyFill="1" applyAlignment="1">
      <alignment horizontal="center" vertical="center"/>
    </xf>
    <xf numFmtId="0" fontId="3" fillId="6" borderId="0" xfId="0" applyFont="1" applyFill="1" applyAlignment="1">
      <alignment horizontal="center" vertical="center" wrapText="1"/>
    </xf>
    <xf numFmtId="0" fontId="1" fillId="6" borderId="0" xfId="0" applyFont="1" applyFill="1" applyAlignment="1">
      <alignment horizontal="center" vertical="center"/>
    </xf>
    <xf numFmtId="0" fontId="3" fillId="7" borderId="0" xfId="0" applyFont="1" applyFill="1" applyAlignment="1">
      <alignment horizontal="center" vertical="center" wrapText="1"/>
    </xf>
    <xf numFmtId="0" fontId="1" fillId="7" borderId="0" xfId="0" applyFont="1" applyFill="1" applyAlignment="1">
      <alignment horizontal="center" vertical="center"/>
    </xf>
    <xf numFmtId="0" fontId="3" fillId="8" borderId="0" xfId="0" applyFont="1" applyFill="1" applyAlignment="1">
      <alignment horizontal="center" vertical="center" wrapText="1"/>
    </xf>
    <xf numFmtId="0" fontId="12" fillId="8" borderId="0" xfId="0" applyFont="1" applyFill="1" applyAlignment="1">
      <alignment horizontal="center" vertical="center"/>
    </xf>
    <xf numFmtId="0" fontId="13" fillId="9" borderId="0" xfId="0" applyFont="1" applyFill="1" applyAlignment="1">
      <alignment horizontal="center" vertical="center"/>
    </xf>
    <xf numFmtId="0" fontId="3" fillId="10" borderId="0" xfId="0" applyFont="1" applyFill="1" applyAlignment="1">
      <alignment horizontal="center" vertical="center" wrapText="1"/>
    </xf>
    <xf numFmtId="0" fontId="14" fillId="10" borderId="0" xfId="0" applyFont="1" applyFill="1" applyAlignment="1">
      <alignment horizontal="center" vertical="center"/>
    </xf>
    <xf numFmtId="0" fontId="19" fillId="0" borderId="0" xfId="0" applyFont="1" applyAlignment="1">
      <alignment horizontal="center" vertical="center"/>
    </xf>
    <xf numFmtId="0" fontId="23" fillId="3" borderId="5" xfId="0" applyFont="1" applyFill="1" applyBorder="1" applyAlignment="1">
      <alignment horizontal="center" vertical="center"/>
    </xf>
    <xf numFmtId="0" fontId="24" fillId="0" borderId="7" xfId="0" applyFont="1" applyBorder="1"/>
    <xf numFmtId="0" fontId="13" fillId="0" borderId="0" xfId="0" applyFont="1" applyAlignment="1">
      <alignment vertical="center" wrapText="1"/>
    </xf>
    <xf numFmtId="0" fontId="24" fillId="0" borderId="6" xfId="0" applyFont="1" applyBorder="1"/>
    <xf numFmtId="0" fontId="27" fillId="0" borderId="0" xfId="0" applyFont="1" applyAlignment="1">
      <alignment horizontal="center"/>
    </xf>
    <xf numFmtId="0" fontId="5" fillId="0" borderId="0" xfId="0" applyFont="1" applyAlignment="1">
      <alignment horizontal="center" vertical="center" wrapText="1"/>
    </xf>
    <xf numFmtId="0" fontId="25" fillId="0" borderId="0" xfId="0" applyFont="1" applyAlignment="1">
      <alignment horizontal="center"/>
    </xf>
    <xf numFmtId="0" fontId="23" fillId="0" borderId="0" xfId="0" applyFont="1" applyAlignment="1">
      <alignment horizontal="center"/>
    </xf>
    <xf numFmtId="0" fontId="33" fillId="0" borderId="21" xfId="0" applyFont="1" applyBorder="1" applyAlignment="1">
      <alignment horizontal="center"/>
    </xf>
    <xf numFmtId="0" fontId="24" fillId="0" borderId="12" xfId="0" applyFont="1" applyBorder="1"/>
    <xf numFmtId="0" fontId="33" fillId="0" borderId="5" xfId="0" applyFont="1" applyBorder="1" applyAlignment="1">
      <alignment horizontal="left" wrapText="1"/>
    </xf>
    <xf numFmtId="0" fontId="33" fillId="0" borderId="19" xfId="0" applyFont="1" applyBorder="1" applyAlignment="1">
      <alignment horizontal="center"/>
    </xf>
    <xf numFmtId="0" fontId="24" fillId="0" borderId="21" xfId="0" applyFont="1" applyBorder="1"/>
    <xf numFmtId="0" fontId="24" fillId="0" borderId="4" xfId="0" applyFont="1" applyBorder="1"/>
    <xf numFmtId="0" fontId="33" fillId="0" borderId="0" xfId="0" applyFont="1" applyAlignment="1">
      <alignment horizontal="center"/>
    </xf>
    <xf numFmtId="0" fontId="33" fillId="0" borderId="18" xfId="0" applyFont="1" applyBorder="1" applyAlignment="1">
      <alignment horizontal="center" vertical="center"/>
    </xf>
    <xf numFmtId="0" fontId="24" fillId="0" borderId="10" xfId="0" applyFont="1" applyBorder="1"/>
    <xf numFmtId="10" fontId="31" fillId="6" borderId="9" xfId="0" applyNumberFormat="1" applyFont="1" applyFill="1" applyBorder="1" applyAlignment="1">
      <alignment horizontal="center" wrapText="1"/>
    </xf>
    <xf numFmtId="0" fontId="33" fillId="0" borderId="15" xfId="0" applyFont="1" applyBorder="1" applyAlignment="1">
      <alignment horizontal="center"/>
    </xf>
    <xf numFmtId="0" fontId="24" fillId="0" borderId="16" xfId="0" applyFont="1" applyBorder="1"/>
    <xf numFmtId="0" fontId="24" fillId="0" borderId="17" xfId="0" applyFont="1" applyBorder="1"/>
    <xf numFmtId="0" fontId="33" fillId="0" borderId="18" xfId="0" applyFont="1" applyBorder="1" applyAlignment="1">
      <alignment horizontal="center"/>
    </xf>
    <xf numFmtId="0" fontId="24" fillId="0" borderId="9" xfId="0" applyFont="1" applyBorder="1"/>
    <xf numFmtId="0" fontId="33" fillId="0" borderId="5" xfId="0" applyFont="1" applyBorder="1" applyAlignment="1">
      <alignment horizontal="center"/>
    </xf>
    <xf numFmtId="0" fontId="24" fillId="0" borderId="5" xfId="0" applyFont="1" applyBorder="1"/>
    <xf numFmtId="0" fontId="33" fillId="0" borderId="22" xfId="0" applyFont="1" applyBorder="1" applyAlignment="1">
      <alignment horizontal="center" vertical="center"/>
    </xf>
    <xf numFmtId="0" fontId="24" fillId="0" borderId="23" xfId="0" applyFont="1" applyBorder="1"/>
    <xf numFmtId="0" fontId="24" fillId="0" borderId="2" xfId="0" applyFont="1" applyBorder="1"/>
    <xf numFmtId="0" fontId="5" fillId="0" borderId="24" xfId="0" applyFont="1" applyBorder="1" applyAlignment="1">
      <alignment vertical="center" wrapText="1"/>
    </xf>
    <xf numFmtId="0" fontId="24" fillId="0" borderId="25" xfId="0" applyFont="1" applyBorder="1"/>
    <xf numFmtId="0" fontId="24" fillId="0" borderId="26" xfId="0" applyFont="1" applyBorder="1"/>
    <xf numFmtId="0" fontId="24" fillId="0" borderId="27" xfId="0" applyFont="1" applyBorder="1"/>
    <xf numFmtId="0" fontId="24" fillId="0" borderId="3" xfId="0" applyFont="1" applyBorder="1"/>
    <xf numFmtId="0" fontId="24" fillId="0" borderId="28" xfId="0" applyFont="1" applyBorder="1"/>
    <xf numFmtId="165" fontId="3" fillId="17" borderId="31" xfId="0" applyNumberFormat="1" applyFont="1" applyFill="1" applyBorder="1"/>
    <xf numFmtId="0" fontId="24" fillId="0" borderId="32" xfId="0" applyFont="1" applyBorder="1"/>
    <xf numFmtId="165" fontId="1" fillId="17" borderId="28" xfId="0" applyNumberFormat="1" applyFont="1" applyFill="1" applyBorder="1" applyAlignment="1">
      <alignment horizontal="right"/>
    </xf>
    <xf numFmtId="0" fontId="3" fillId="0" borderId="31" xfId="0" applyFont="1" applyBorder="1"/>
    <xf numFmtId="165" fontId="1" fillId="0" borderId="28" xfId="0" applyNumberFormat="1" applyFont="1" applyBorder="1" applyAlignment="1">
      <alignment horizontal="right"/>
    </xf>
    <xf numFmtId="0" fontId="3" fillId="0" borderId="28" xfId="0" applyFont="1" applyBorder="1"/>
    <xf numFmtId="165" fontId="3" fillId="0" borderId="28" xfId="0" applyNumberFormat="1" applyFont="1" applyBorder="1"/>
    <xf numFmtId="165" fontId="1" fillId="0" borderId="33" xfId="0" applyNumberFormat="1" applyFont="1" applyBorder="1" applyAlignment="1">
      <alignment horizontal="right"/>
    </xf>
    <xf numFmtId="0" fontId="24" fillId="0" borderId="1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Gasstos operativos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1"/>
          <c:tx>
            <c:strRef>
              <c:f>'1 GASTOS mensuales'!$A$6</c:f>
              <c:strCache>
                <c:ptCount val="1"/>
                <c:pt idx="0">
                  <c:v>Salarios y sueldos del personal fijo (independ de las ventas)</c:v>
                </c:pt>
              </c:strCache>
            </c:strRef>
          </c:tx>
          <c:spPr>
            <a:ln w="28575" cap="rnd">
              <a:solidFill>
                <a:schemeClr val="accent2"/>
              </a:solidFill>
              <a:round/>
            </a:ln>
            <a:effectLst/>
          </c:spPr>
          <c:marker>
            <c:symbol val="none"/>
          </c:marker>
          <c:cat>
            <c:strRef>
              <c:f>'1 GASTOS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'1 GASTOS mensuales'!$B$6:$M$6</c:f>
              <c:numCache>
                <c:formatCode>#,##0\ [$€-1]</c:formatCode>
                <c:ptCount val="12"/>
                <c:pt idx="0">
                  <c:v>800</c:v>
                </c:pt>
                <c:pt idx="1">
                  <c:v>800</c:v>
                </c:pt>
                <c:pt idx="2">
                  <c:v>800</c:v>
                </c:pt>
                <c:pt idx="3">
                  <c:v>1000</c:v>
                </c:pt>
                <c:pt idx="4">
                  <c:v>1000</c:v>
                </c:pt>
                <c:pt idx="5">
                  <c:v>1500</c:v>
                </c:pt>
              </c:numCache>
            </c:numRef>
          </c:val>
          <c:smooth val="0"/>
          <c:extLst>
            <c:ext xmlns:c16="http://schemas.microsoft.com/office/drawing/2014/chart" uri="{C3380CC4-5D6E-409C-BE32-E72D297353CC}">
              <c16:uniqueId val="{00000009-F4EC-4490-A83D-6805682BAEF8}"/>
            </c:ext>
          </c:extLst>
        </c:ser>
        <c:ser>
          <c:idx val="10"/>
          <c:order val="10"/>
          <c:tx>
            <c:strRef>
              <c:f>'1 GASTOS mensuales'!$A$15</c:f>
              <c:strCache>
                <c:ptCount val="1"/>
                <c:pt idx="0">
                  <c:v>Cuota de autónomos</c:v>
                </c:pt>
              </c:strCache>
            </c:strRef>
          </c:tx>
          <c:spPr>
            <a:ln w="28575" cap="rnd">
              <a:solidFill>
                <a:schemeClr val="accent5">
                  <a:lumMod val="60000"/>
                </a:schemeClr>
              </a:solidFill>
              <a:round/>
            </a:ln>
            <a:effectLst/>
          </c:spPr>
          <c:marker>
            <c:symbol val="none"/>
          </c:marker>
          <c:cat>
            <c:strRef>
              <c:f>'1 GASTOS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'1 GASTOS mensuales'!$B$15:$M$15</c:f>
              <c:numCache>
                <c:formatCode>_("€"* #,##0.00_);_("€"* \(#,##0.00\);_("€"* "-"??_);_(@_)</c:formatCode>
                <c:ptCount val="12"/>
                <c:pt idx="0">
                  <c:v>235.59</c:v>
                </c:pt>
                <c:pt idx="1">
                  <c:v>235.59</c:v>
                </c:pt>
                <c:pt idx="2">
                  <c:v>235.59</c:v>
                </c:pt>
                <c:pt idx="3">
                  <c:v>235.59</c:v>
                </c:pt>
                <c:pt idx="4">
                  <c:v>125</c:v>
                </c:pt>
                <c:pt idx="5">
                  <c:v>88</c:v>
                </c:pt>
              </c:numCache>
            </c:numRef>
          </c:val>
          <c:smooth val="0"/>
          <c:extLst>
            <c:ext xmlns:c16="http://schemas.microsoft.com/office/drawing/2014/chart" uri="{C3380CC4-5D6E-409C-BE32-E72D297353CC}">
              <c16:uniqueId val="{00000012-F4EC-4490-A83D-6805682BAEF8}"/>
            </c:ext>
          </c:extLst>
        </c:ser>
        <c:ser>
          <c:idx val="11"/>
          <c:order val="11"/>
          <c:tx>
            <c:strRef>
              <c:f>'1 GASTOS mensuales'!$A$16</c:f>
              <c:strCache>
                <c:ptCount val="1"/>
                <c:pt idx="0">
                  <c:v>Formación</c:v>
                </c:pt>
              </c:strCache>
            </c:strRef>
          </c:tx>
          <c:spPr>
            <a:ln w="28575" cap="rnd">
              <a:solidFill>
                <a:schemeClr val="accent6">
                  <a:lumMod val="60000"/>
                </a:schemeClr>
              </a:solidFill>
              <a:round/>
            </a:ln>
            <a:effectLst/>
          </c:spPr>
          <c:marker>
            <c:symbol val="none"/>
          </c:marker>
          <c:cat>
            <c:strRef>
              <c:f>'1 GASTOS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'1 GASTOS mensuales'!$C$16:$M$16</c:f>
              <c:numCache>
                <c:formatCode>_("€"* #,##0.00_);_("€"* \(#,##0.00\);_("€"* "-"??_);_(@_)</c:formatCode>
                <c:ptCount val="11"/>
                <c:pt idx="0">
                  <c:v>172.52</c:v>
                </c:pt>
                <c:pt idx="1">
                  <c:v>248</c:v>
                </c:pt>
                <c:pt idx="2" formatCode="#,##0\ [$€-1]">
                  <c:v>179</c:v>
                </c:pt>
                <c:pt idx="3" formatCode="#,##0\ [$€-1]">
                  <c:v>160</c:v>
                </c:pt>
                <c:pt idx="4" formatCode="#,##0\ [$€-1]">
                  <c:v>120</c:v>
                </c:pt>
              </c:numCache>
            </c:numRef>
          </c:val>
          <c:smooth val="0"/>
          <c:extLst>
            <c:ext xmlns:c16="http://schemas.microsoft.com/office/drawing/2014/chart" uri="{C3380CC4-5D6E-409C-BE32-E72D297353CC}">
              <c16:uniqueId val="{00000013-F4EC-4490-A83D-6805682BAEF8}"/>
            </c:ext>
          </c:extLst>
        </c:ser>
        <c:ser>
          <c:idx val="13"/>
          <c:order val="13"/>
          <c:tx>
            <c:strRef>
              <c:f>'1 GASTOS mensuales'!$A$18</c:f>
              <c:strCache>
                <c:ptCount val="1"/>
                <c:pt idx="0">
                  <c:v>Web, comunicación, sistemas</c:v>
                </c:pt>
              </c:strCache>
            </c:strRef>
          </c:tx>
          <c:spPr>
            <a:ln w="28575" cap="rnd">
              <a:solidFill>
                <a:schemeClr val="accent2">
                  <a:lumMod val="80000"/>
                  <a:lumOff val="20000"/>
                </a:schemeClr>
              </a:solidFill>
              <a:round/>
            </a:ln>
            <a:effectLst/>
          </c:spPr>
          <c:marker>
            <c:symbol val="none"/>
          </c:marker>
          <c:cat>
            <c:strRef>
              <c:f>'1 GASTOS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'1 GASTOS mensuales'!$B$18:$M$18</c:f>
              <c:numCache>
                <c:formatCode>#,##0\ [$€-1]</c:formatCode>
                <c:ptCount val="12"/>
                <c:pt idx="0">
                  <c:v>530</c:v>
                </c:pt>
                <c:pt idx="1">
                  <c:v>105</c:v>
                </c:pt>
                <c:pt idx="2">
                  <c:v>0</c:v>
                </c:pt>
                <c:pt idx="3">
                  <c:v>1224</c:v>
                </c:pt>
                <c:pt idx="4">
                  <c:v>155.80000000000001</c:v>
                </c:pt>
                <c:pt idx="5">
                  <c:v>822.66</c:v>
                </c:pt>
              </c:numCache>
            </c:numRef>
          </c:val>
          <c:smooth val="0"/>
          <c:extLst>
            <c:ext xmlns:c16="http://schemas.microsoft.com/office/drawing/2014/chart" uri="{C3380CC4-5D6E-409C-BE32-E72D297353CC}">
              <c16:uniqueId val="{00000015-F4EC-4490-A83D-6805682BAEF8}"/>
            </c:ext>
          </c:extLst>
        </c:ser>
        <c:ser>
          <c:idx val="15"/>
          <c:order val="15"/>
          <c:tx>
            <c:strRef>
              <c:f>'1 GASTOS mensuales'!$A$20</c:f>
              <c:strCache>
                <c:ptCount val="1"/>
                <c:pt idx="0">
                  <c:v>Otros</c:v>
                </c:pt>
              </c:strCache>
            </c:strRef>
          </c:tx>
          <c:spPr>
            <a:ln w="28575" cap="rnd">
              <a:solidFill>
                <a:schemeClr val="accent4">
                  <a:lumMod val="80000"/>
                  <a:lumOff val="20000"/>
                </a:schemeClr>
              </a:solidFill>
              <a:round/>
            </a:ln>
            <a:effectLst/>
          </c:spPr>
          <c:marker>
            <c:symbol val="none"/>
          </c:marker>
          <c:cat>
            <c:strRef>
              <c:f>'1 GASTOS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'1 GASTOS mensuales'!$B$20:$M$20</c:f>
              <c:numCache>
                <c:formatCode>#,##0\ [$€-1]</c:formatCode>
                <c:ptCount val="12"/>
                <c:pt idx="0">
                  <c:v>133.1</c:v>
                </c:pt>
                <c:pt idx="1">
                  <c:v>119.19</c:v>
                </c:pt>
                <c:pt idx="2">
                  <c:v>95</c:v>
                </c:pt>
                <c:pt idx="3">
                  <c:v>20</c:v>
                </c:pt>
                <c:pt idx="5">
                  <c:v>133</c:v>
                </c:pt>
              </c:numCache>
            </c:numRef>
          </c:val>
          <c:smooth val="0"/>
          <c:extLst>
            <c:ext xmlns:c16="http://schemas.microsoft.com/office/drawing/2014/chart" uri="{C3380CC4-5D6E-409C-BE32-E72D297353CC}">
              <c16:uniqueId val="{00000017-F4EC-4490-A83D-6805682BAEF8}"/>
            </c:ext>
          </c:extLst>
        </c:ser>
        <c:dLbls>
          <c:showLegendKey val="0"/>
          <c:showVal val="0"/>
          <c:showCatName val="0"/>
          <c:showSerName val="0"/>
          <c:showPercent val="0"/>
          <c:showBubbleSize val="0"/>
        </c:dLbls>
        <c:smooth val="0"/>
        <c:axId val="116549551"/>
        <c:axId val="103890703"/>
        <c:extLst>
          <c:ext xmlns:c15="http://schemas.microsoft.com/office/drawing/2012/chart" uri="{02D57815-91ED-43cb-92C2-25804820EDAC}">
            <c15:filteredLineSeries>
              <c15:ser>
                <c:idx val="0"/>
                <c:order val="0"/>
                <c:tx>
                  <c:strRef>
                    <c:extLst>
                      <c:ext uri="{02D57815-91ED-43cb-92C2-25804820EDAC}">
                        <c15:formulaRef>
                          <c15:sqref>'1 GASTOS mensuales'!$A$5</c15:sqref>
                        </c15:formulaRef>
                      </c:ext>
                    </c:extLst>
                    <c:strCache>
                      <c:ptCount val="1"/>
                      <c:pt idx="0">
                        <c:v>Alquiler del local</c:v>
                      </c:pt>
                    </c:strCache>
                  </c:strRef>
                </c:tx>
                <c:spPr>
                  <a:ln w="28575" cap="rnd">
                    <a:solidFill>
                      <a:schemeClr val="accent1"/>
                    </a:solidFill>
                    <a:round/>
                  </a:ln>
                  <a:effectLst/>
                </c:spPr>
                <c:marker>
                  <c:symbol val="none"/>
                </c:marker>
                <c:cat>
                  <c:strRef>
                    <c:extLst>
                      <c:ex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c:ext uri="{02D57815-91ED-43cb-92C2-25804820EDAC}">
                        <c15:formulaRef>
                          <c15:sqref>'1 GASTOS mensuales'!$B$5:$M$5</c15:sqref>
                        </c15:formulaRef>
                      </c:ext>
                    </c:extLst>
                    <c:numCache>
                      <c:formatCode>#,##0\ [$€-1]</c:formatCode>
                      <c:ptCount val="12"/>
                      <c:pt idx="0">
                        <c:v>0</c:v>
                      </c:pt>
                      <c:pt idx="1">
                        <c:v>0</c:v>
                      </c:pt>
                      <c:pt idx="2">
                        <c:v>0</c:v>
                      </c:pt>
                      <c:pt idx="3">
                        <c:v>0</c:v>
                      </c:pt>
                      <c:pt idx="4">
                        <c:v>0</c:v>
                      </c:pt>
                      <c:pt idx="5">
                        <c:v>0</c:v>
                      </c:pt>
                    </c:numCache>
                  </c:numRef>
                </c:val>
                <c:smooth val="0"/>
                <c:extLst>
                  <c:ext xmlns:c16="http://schemas.microsoft.com/office/drawing/2014/chart" uri="{C3380CC4-5D6E-409C-BE32-E72D297353CC}">
                    <c16:uniqueId val="{00000008-F4EC-4490-A83D-6805682BAEF8}"/>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'1 GASTOS mensuales'!$A$7</c15:sqref>
                        </c15:formulaRef>
                      </c:ext>
                    </c:extLst>
                    <c:strCache>
                      <c:ptCount val="1"/>
                      <c:pt idx="0">
                        <c:v>Servicios: Electricidad, agua, gas, y otros servicios públicos.</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mensuales'!$B$7:$M$7</c15:sqref>
                        </c15:formulaRef>
                      </c:ext>
                    </c:extLst>
                    <c:numCache>
                      <c:formatCode>#,##0\ [$€-1]</c:formatCode>
                      <c:ptCount val="12"/>
                      <c:pt idx="0">
                        <c:v>0</c:v>
                      </c:pt>
                      <c:pt idx="1">
                        <c:v>0</c:v>
                      </c:pt>
                      <c:pt idx="2">
                        <c:v>0</c:v>
                      </c:pt>
                      <c:pt idx="3">
                        <c:v>0</c:v>
                      </c:pt>
                      <c:pt idx="4">
                        <c:v>0</c:v>
                      </c:pt>
                      <c:pt idx="5">
                        <c:v>0</c:v>
                      </c:pt>
                    </c:numCache>
                  </c:numRef>
                </c:val>
                <c:smooth val="0"/>
                <c:extLst xmlns:c15="http://schemas.microsoft.com/office/drawing/2012/chart">
                  <c:ext xmlns:c16="http://schemas.microsoft.com/office/drawing/2014/chart" uri="{C3380CC4-5D6E-409C-BE32-E72D297353CC}">
                    <c16:uniqueId val="{0000000A-F4EC-4490-A83D-6805682BAEF8}"/>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'1 GASTOS mensuales'!$A$8</c15:sqref>
                        </c15:formulaRef>
                      </c:ext>
                    </c:extLst>
                    <c:strCache>
                      <c:ptCount val="1"/>
                      <c:pt idx="0">
                        <c:v>Seguro del local </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mensuales'!$B$8:$M$8</c15:sqref>
                        </c15:formulaRef>
                      </c:ext>
                    </c:extLst>
                    <c:numCache>
                      <c:formatCode>#,##0\ [$€-1]</c:formatCode>
                      <c:ptCount val="12"/>
                      <c:pt idx="0">
                        <c:v>0</c:v>
                      </c:pt>
                      <c:pt idx="1">
                        <c:v>0</c:v>
                      </c:pt>
                      <c:pt idx="2">
                        <c:v>0</c:v>
                      </c:pt>
                      <c:pt idx="3">
                        <c:v>0</c:v>
                      </c:pt>
                      <c:pt idx="4">
                        <c:v>0</c:v>
                      </c:pt>
                      <c:pt idx="5">
                        <c:v>0</c:v>
                      </c:pt>
                    </c:numCache>
                  </c:numRef>
                </c:val>
                <c:smooth val="0"/>
                <c:extLst xmlns:c15="http://schemas.microsoft.com/office/drawing/2012/chart">
                  <c:ext xmlns:c16="http://schemas.microsoft.com/office/drawing/2014/chart" uri="{C3380CC4-5D6E-409C-BE32-E72D297353CC}">
                    <c16:uniqueId val="{0000000B-F4EC-4490-A83D-6805682BAEF8}"/>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'1 GASTOS mensuales'!$A$9</c15:sqref>
                        </c15:formulaRef>
                      </c:ext>
                    </c:extLst>
                    <c:strCache>
                      <c:ptCount val="1"/>
                      <c:pt idx="0">
                        <c:v>Costos de licencias y permisos</c:v>
                      </c:pt>
                    </c:strCache>
                  </c:strRef>
                </c:tx>
                <c:spPr>
                  <a:ln w="28575" cap="rnd">
                    <a:solidFill>
                      <a:schemeClr val="accent5"/>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mensuales'!$B$9:$M$9</c15:sqref>
                        </c15:formulaRef>
                      </c:ext>
                    </c:extLst>
                    <c:numCache>
                      <c:formatCode>#,##0\ [$€-1]</c:formatCode>
                      <c:ptCount val="12"/>
                      <c:pt idx="0">
                        <c:v>100</c:v>
                      </c:pt>
                      <c:pt idx="1">
                        <c:v>79</c:v>
                      </c:pt>
                      <c:pt idx="2">
                        <c:v>96</c:v>
                      </c:pt>
                      <c:pt idx="3">
                        <c:v>74</c:v>
                      </c:pt>
                      <c:pt idx="4">
                        <c:v>73</c:v>
                      </c:pt>
                      <c:pt idx="5">
                        <c:v>73</c:v>
                      </c:pt>
                    </c:numCache>
                  </c:numRef>
                </c:val>
                <c:smooth val="0"/>
                <c:extLst xmlns:c15="http://schemas.microsoft.com/office/drawing/2012/chart">
                  <c:ext xmlns:c16="http://schemas.microsoft.com/office/drawing/2014/chart" uri="{C3380CC4-5D6E-409C-BE32-E72D297353CC}">
                    <c16:uniqueId val="{0000000C-F4EC-4490-A83D-6805682BAEF8}"/>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'1 GASTOS mensuales'!$A$10</c15:sqref>
                        </c15:formulaRef>
                      </c:ext>
                    </c:extLst>
                    <c:strCache>
                      <c:ptCount val="1"/>
                      <c:pt idx="0">
                        <c:v>Materiales de limpieza</c:v>
                      </c:pt>
                    </c:strCache>
                  </c:strRef>
                </c:tx>
                <c:spPr>
                  <a:ln w="28575" cap="rnd">
                    <a:solidFill>
                      <a:schemeClr val="accent6"/>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mensuales'!$B$10:$M$10</c15:sqref>
                        </c15:formulaRef>
                      </c:ext>
                    </c:extLst>
                    <c:numCache>
                      <c:formatCode>#,##0\ [$€-1]</c:formatCode>
                      <c:ptCount val="12"/>
                      <c:pt idx="0">
                        <c:v>0</c:v>
                      </c:pt>
                      <c:pt idx="1">
                        <c:v>0</c:v>
                      </c:pt>
                      <c:pt idx="2">
                        <c:v>0</c:v>
                      </c:pt>
                      <c:pt idx="3">
                        <c:v>0</c:v>
                      </c:pt>
                      <c:pt idx="4">
                        <c:v>0</c:v>
                      </c:pt>
                      <c:pt idx="5">
                        <c:v>0</c:v>
                      </c:pt>
                    </c:numCache>
                  </c:numRef>
                </c:val>
                <c:smooth val="0"/>
                <c:extLst xmlns:c15="http://schemas.microsoft.com/office/drawing/2012/chart">
                  <c:ext xmlns:c16="http://schemas.microsoft.com/office/drawing/2014/chart" uri="{C3380CC4-5D6E-409C-BE32-E72D297353CC}">
                    <c16:uniqueId val="{0000000D-F4EC-4490-A83D-6805682BAEF8}"/>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'1 GASTOS mensuales'!$A$11</c15:sqref>
                        </c15:formulaRef>
                      </c:ext>
                    </c:extLst>
                    <c:strCache>
                      <c:ptCount val="1"/>
                      <c:pt idx="0">
                        <c:v>Publicidad y marketing</c:v>
                      </c:pt>
                    </c:strCache>
                  </c:strRef>
                </c:tx>
                <c:spPr>
                  <a:ln w="28575" cap="rnd">
                    <a:solidFill>
                      <a:schemeClr val="accent1">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mensuales'!$B$11:$M$11</c15:sqref>
                        </c15:formulaRef>
                      </c:ext>
                    </c:extLst>
                    <c:numCache>
                      <c:formatCode>#,##0\ [$€-1]</c:formatCode>
                      <c:ptCount val="12"/>
                      <c:pt idx="0">
                        <c:v>21</c:v>
                      </c:pt>
                      <c:pt idx="1">
                        <c:v>1921</c:v>
                      </c:pt>
                      <c:pt idx="2">
                        <c:v>608</c:v>
                      </c:pt>
                      <c:pt idx="3">
                        <c:v>0</c:v>
                      </c:pt>
                      <c:pt idx="4">
                        <c:v>0</c:v>
                      </c:pt>
                      <c:pt idx="5">
                        <c:v>0</c:v>
                      </c:pt>
                    </c:numCache>
                  </c:numRef>
                </c:val>
                <c:smooth val="0"/>
                <c:extLst xmlns:c15="http://schemas.microsoft.com/office/drawing/2012/chart">
                  <c:ext xmlns:c16="http://schemas.microsoft.com/office/drawing/2014/chart" uri="{C3380CC4-5D6E-409C-BE32-E72D297353CC}">
                    <c16:uniqueId val="{0000000E-F4EC-4490-A83D-6805682BAEF8}"/>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'1 GASTOS mensuales'!$A$12</c15:sqref>
                        </c15:formulaRef>
                      </c:ext>
                    </c:extLst>
                    <c:strCache>
                      <c:ptCount val="1"/>
                      <c:pt idx="0">
                        <c:v>Productos de oficina</c:v>
                      </c:pt>
                    </c:strCache>
                  </c:strRef>
                </c:tx>
                <c:spPr>
                  <a:ln w="28575" cap="rnd">
                    <a:solidFill>
                      <a:schemeClr val="accent2">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mensuales'!$B$12:$M$12</c15:sqref>
                        </c15:formulaRef>
                      </c:ext>
                    </c:extLst>
                    <c:numCache>
                      <c:formatCode>#,##0\ [$€-1]</c:formatCode>
                      <c:ptCount val="12"/>
                      <c:pt idx="0" formatCode="_(&quot;€&quot;* #,##0.00_);_(&quot;€&quot;* \(#,##0.00\);_(&quot;€&quot;* &quot;-&quot;??_);_(@_)">
                        <c:v>0</c:v>
                      </c:pt>
                      <c:pt idx="1">
                        <c:v>0</c:v>
                      </c:pt>
                      <c:pt idx="2">
                        <c:v>10</c:v>
                      </c:pt>
                      <c:pt idx="3">
                        <c:v>42</c:v>
                      </c:pt>
                      <c:pt idx="4">
                        <c:v>78</c:v>
                      </c:pt>
                      <c:pt idx="5">
                        <c:v>10</c:v>
                      </c:pt>
                    </c:numCache>
                  </c:numRef>
                </c:val>
                <c:smooth val="0"/>
                <c:extLst xmlns:c15="http://schemas.microsoft.com/office/drawing/2012/chart">
                  <c:ext xmlns:c16="http://schemas.microsoft.com/office/drawing/2014/chart" uri="{C3380CC4-5D6E-409C-BE32-E72D297353CC}">
                    <c16:uniqueId val="{0000000F-F4EC-4490-A83D-6805682BAEF8}"/>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'1 GASTOS mensuales'!$A$13</c15:sqref>
                        </c15:formulaRef>
                      </c:ext>
                    </c:extLst>
                    <c:strCache>
                      <c:ptCount val="1"/>
                      <c:pt idx="0">
                        <c:v>Mantenimiento y reparaciones y muebles</c:v>
                      </c:pt>
                    </c:strCache>
                  </c:strRef>
                </c:tx>
                <c:spPr>
                  <a:ln w="28575" cap="rnd">
                    <a:solidFill>
                      <a:schemeClr val="accent3">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mensuales'!$B$13:$M$13</c15:sqref>
                        </c15:formulaRef>
                      </c:ext>
                    </c:extLst>
                    <c:numCache>
                      <c:formatCode>#,##0\ [$€-1]</c:formatCode>
                      <c:ptCount val="12"/>
                      <c:pt idx="0">
                        <c:v>0</c:v>
                      </c:pt>
                      <c:pt idx="1">
                        <c:v>0</c:v>
                      </c:pt>
                      <c:pt idx="2">
                        <c:v>0</c:v>
                      </c:pt>
                      <c:pt idx="3">
                        <c:v>0</c:v>
                      </c:pt>
                      <c:pt idx="4">
                        <c:v>0</c:v>
                      </c:pt>
                      <c:pt idx="5">
                        <c:v>503</c:v>
                      </c:pt>
                    </c:numCache>
                  </c:numRef>
                </c:val>
                <c:smooth val="0"/>
                <c:extLst xmlns:c15="http://schemas.microsoft.com/office/drawing/2012/chart">
                  <c:ext xmlns:c16="http://schemas.microsoft.com/office/drawing/2014/chart" uri="{C3380CC4-5D6E-409C-BE32-E72D297353CC}">
                    <c16:uniqueId val="{00000010-F4EC-4490-A83D-6805682BAEF8}"/>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'1 GASTOS mensuales'!$A$14</c15:sqref>
                        </c15:formulaRef>
                      </c:ext>
                    </c:extLst>
                    <c:strCache>
                      <c:ptCount val="1"/>
                      <c:pt idx="0">
                        <c:v>Servicios de gestoría</c:v>
                      </c:pt>
                    </c:strCache>
                  </c:strRef>
                </c:tx>
                <c:spPr>
                  <a:ln w="28575" cap="rnd">
                    <a:solidFill>
                      <a:schemeClr val="accent4">
                        <a:lumMod val="60000"/>
                      </a:schemeClr>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mensuales'!$B$14:$M$14</c15:sqref>
                        </c15:formulaRef>
                      </c:ext>
                    </c:extLst>
                    <c:numCache>
                      <c:formatCode>_("€"* #,##0.00_);_("€"* \(#,##0.00\);_("€"* "-"??_);_(@_)</c:formatCode>
                      <c:ptCount val="12"/>
                      <c:pt idx="0">
                        <c:v>89.54</c:v>
                      </c:pt>
                      <c:pt idx="1">
                        <c:v>71.39</c:v>
                      </c:pt>
                      <c:pt idx="2">
                        <c:v>71.39</c:v>
                      </c:pt>
                      <c:pt idx="3">
                        <c:v>71.39</c:v>
                      </c:pt>
                      <c:pt idx="4">
                        <c:v>626</c:v>
                      </c:pt>
                      <c:pt idx="5">
                        <c:v>69</c:v>
                      </c:pt>
                    </c:numCache>
                  </c:numRef>
                </c:val>
                <c:smooth val="0"/>
                <c:extLst xmlns:c15="http://schemas.microsoft.com/office/drawing/2012/chart">
                  <c:ext xmlns:c16="http://schemas.microsoft.com/office/drawing/2014/chart" uri="{C3380CC4-5D6E-409C-BE32-E72D297353CC}">
                    <c16:uniqueId val="{00000011-F4EC-4490-A83D-6805682BAEF8}"/>
                  </c:ext>
                </c:extLst>
              </c15:ser>
            </c15:filteredLineSeries>
            <c15:filteredLineSeries>
              <c15:ser>
                <c:idx val="12"/>
                <c:order val="12"/>
                <c:tx>
                  <c:strRef>
                    <c:extLst xmlns:c15="http://schemas.microsoft.com/office/drawing/2012/chart">
                      <c:ext xmlns:c15="http://schemas.microsoft.com/office/drawing/2012/chart" uri="{02D57815-91ED-43cb-92C2-25804820EDAC}">
                        <c15:formulaRef>
                          <c15:sqref>'1 GASTOS mensuales'!$A$17</c15:sqref>
                        </c15:formulaRef>
                      </c:ext>
                    </c:extLst>
                    <c:strCache>
                      <c:ptCount val="1"/>
                      <c:pt idx="0">
                        <c:v>Gastos bancarios</c:v>
                      </c:pt>
                    </c:strCache>
                  </c:strRef>
                </c:tx>
                <c:spPr>
                  <a:ln w="28575" cap="rnd">
                    <a:solidFill>
                      <a:schemeClr val="accent1">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mensuales'!$B$17:$M$17</c15:sqref>
                        </c15:formulaRef>
                      </c:ext>
                    </c:extLst>
                    <c:numCache>
                      <c:formatCode>#,##0\ [$€-1]</c:formatCode>
                      <c:ptCount val="12"/>
                      <c:pt idx="0">
                        <c:v>-787.7</c:v>
                      </c:pt>
                      <c:pt idx="1">
                        <c:v>28</c:v>
                      </c:pt>
                      <c:pt idx="2">
                        <c:v>42</c:v>
                      </c:pt>
                      <c:pt idx="3">
                        <c:v>93.99</c:v>
                      </c:pt>
                    </c:numCache>
                  </c:numRef>
                </c:val>
                <c:smooth val="0"/>
                <c:extLst xmlns:c15="http://schemas.microsoft.com/office/drawing/2012/chart">
                  <c:ext xmlns:c16="http://schemas.microsoft.com/office/drawing/2014/chart" uri="{C3380CC4-5D6E-409C-BE32-E72D297353CC}">
                    <c16:uniqueId val="{00000014-F4EC-4490-A83D-6805682BAEF8}"/>
                  </c:ext>
                </c:extLst>
              </c15:ser>
            </c15:filteredLineSeries>
            <c15:filteredLineSeries>
              <c15:ser>
                <c:idx val="14"/>
                <c:order val="14"/>
                <c:tx>
                  <c:strRef>
                    <c:extLst xmlns:c15="http://schemas.microsoft.com/office/drawing/2012/chart">
                      <c:ext xmlns:c15="http://schemas.microsoft.com/office/drawing/2012/chart" uri="{02D57815-91ED-43cb-92C2-25804820EDAC}">
                        <c15:formulaRef>
                          <c15:sqref>'1 GASTOS mensuales'!$A$19</c15:sqref>
                        </c15:formulaRef>
                      </c:ext>
                    </c:extLst>
                    <c:strCache>
                      <c:ptCount val="1"/>
                      <c:pt idx="0">
                        <c:v>Telefonia</c:v>
                      </c:pt>
                    </c:strCache>
                  </c:strRef>
                </c:tx>
                <c:spPr>
                  <a:ln w="28575" cap="rnd">
                    <a:solidFill>
                      <a:schemeClr val="accent3">
                        <a:lumMod val="80000"/>
                        <a:lumOff val="20000"/>
                      </a:schemeClr>
                    </a:solidFill>
                    <a:round/>
                  </a:ln>
                  <a:effectLst/>
                </c:spPr>
                <c:marker>
                  <c:symbol val="none"/>
                </c:marker>
                <c:cat>
                  <c:strRef>
                    <c:extLst xmlns:c15="http://schemas.microsoft.com/office/drawing/2012/chart">
                      <c:ext xmlns:c15="http://schemas.microsoft.com/office/drawing/2012/chart" uri="{02D57815-91ED-43cb-92C2-25804820EDAC}">
                        <c15:formulaRef>
                          <c15:sqref>'1 GASTOS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'1 GASTOS mensuales'!$B$19:$M$19</c15:sqref>
                        </c15:formulaRef>
                      </c:ext>
                    </c:extLst>
                    <c:numCache>
                      <c:formatCode>#,##0\ [$€-1]</c:formatCode>
                      <c:ptCount val="12"/>
                      <c:pt idx="0">
                        <c:v>7.9</c:v>
                      </c:pt>
                      <c:pt idx="1">
                        <c:v>7.9</c:v>
                      </c:pt>
                      <c:pt idx="2">
                        <c:v>8</c:v>
                      </c:pt>
                      <c:pt idx="3">
                        <c:v>8</c:v>
                      </c:pt>
                      <c:pt idx="4">
                        <c:v>8</c:v>
                      </c:pt>
                      <c:pt idx="5">
                        <c:v>8</c:v>
                      </c:pt>
                    </c:numCache>
                  </c:numRef>
                </c:val>
                <c:smooth val="0"/>
                <c:extLst xmlns:c15="http://schemas.microsoft.com/office/drawing/2012/chart">
                  <c:ext xmlns:c16="http://schemas.microsoft.com/office/drawing/2014/chart" uri="{C3380CC4-5D6E-409C-BE32-E72D297353CC}">
                    <c16:uniqueId val="{00000016-F4EC-4490-A83D-6805682BAEF8}"/>
                  </c:ext>
                </c:extLst>
              </c15:ser>
            </c15:filteredLineSeries>
          </c:ext>
        </c:extLst>
      </c:lineChart>
      <c:catAx>
        <c:axId val="11654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890703"/>
        <c:crosses val="autoZero"/>
        <c:auto val="1"/>
        <c:lblAlgn val="ctr"/>
        <c:lblOffset val="100"/>
        <c:noMultiLvlLbl val="0"/>
      </c:catAx>
      <c:valAx>
        <c:axId val="103890703"/>
        <c:scaling>
          <c:orientation val="minMax"/>
        </c:scaling>
        <c:delete val="0"/>
        <c:axPos val="l"/>
        <c:majorGridlines>
          <c:spPr>
            <a:ln w="9525" cap="flat" cmpd="sng" algn="ctr">
              <a:solidFill>
                <a:schemeClr val="tx1">
                  <a:lumMod val="15000"/>
                  <a:lumOff val="85000"/>
                </a:schemeClr>
              </a:solidFill>
              <a:round/>
            </a:ln>
            <a:effectLst/>
          </c:spPr>
        </c:majorGridlines>
        <c:numFmt formatCode="#,##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65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Gastos variables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'1 GASTOS mensuales'!$A$24</c:f>
              <c:strCache>
                <c:ptCount val="1"/>
                <c:pt idx="0">
                  <c:v>GASTOS VARIABLES </c:v>
                </c:pt>
              </c:strCache>
            </c:strRef>
          </c:tx>
          <c:spPr>
            <a:ln w="28575" cap="rnd">
              <a:solidFill>
                <a:schemeClr val="accent1"/>
              </a:solidFill>
              <a:round/>
            </a:ln>
            <a:effectLst/>
          </c:spPr>
          <c:marker>
            <c:symbol val="none"/>
          </c:marker>
          <c:val>
            <c:numRef>
              <c:f>'1 GASTOS mensuales'!$B$24:$M$24</c:f>
              <c:numCache>
                <c:formatCode>#,##0\ [$€-1]</c:formatCode>
                <c:ptCount val="12"/>
                <c:pt idx="0">
                  <c:v>0</c:v>
                </c:pt>
              </c:numCache>
            </c:numRef>
          </c:val>
          <c:smooth val="0"/>
          <c:extLst>
            <c:ext xmlns:c16="http://schemas.microsoft.com/office/drawing/2014/chart" uri="{C3380CC4-5D6E-409C-BE32-E72D297353CC}">
              <c16:uniqueId val="{00000005-5227-42BD-A3B4-7862BFB26016}"/>
            </c:ext>
          </c:extLst>
        </c:ser>
        <c:ser>
          <c:idx val="1"/>
          <c:order val="1"/>
          <c:tx>
            <c:strRef>
              <c:f>'1 GASTOS mensuales'!$A$25</c:f>
              <c:strCache>
                <c:ptCount val="1"/>
                <c:pt idx="0">
                  <c:v>Flores</c:v>
                </c:pt>
              </c:strCache>
            </c:strRef>
          </c:tx>
          <c:spPr>
            <a:ln w="28575" cap="rnd">
              <a:solidFill>
                <a:schemeClr val="accent2"/>
              </a:solidFill>
              <a:round/>
            </a:ln>
            <a:effectLst/>
          </c:spPr>
          <c:marker>
            <c:symbol val="none"/>
          </c:marker>
          <c:val>
            <c:numRef>
              <c:f>'1 GASTOS mensuales'!$B$25:$M$25</c:f>
              <c:numCache>
                <c:formatCode>_("€"* #,##0.00_);_("€"* \(#,##0.00\);_("€"* "-"??_);_(@_)</c:formatCode>
                <c:ptCount val="12"/>
                <c:pt idx="0" formatCode="#,##0\ [$€-1]">
                  <c:v>361</c:v>
                </c:pt>
                <c:pt idx="1">
                  <c:v>1160</c:v>
                </c:pt>
                <c:pt idx="2">
                  <c:v>913</c:v>
                </c:pt>
                <c:pt idx="3" formatCode="#,##0\ [$€-1]">
                  <c:v>1560</c:v>
                </c:pt>
                <c:pt idx="4" formatCode="#,##0\ [$€-1]">
                  <c:v>1470</c:v>
                </c:pt>
                <c:pt idx="5" formatCode="#,##0\ [$€-1]">
                  <c:v>3220</c:v>
                </c:pt>
              </c:numCache>
            </c:numRef>
          </c:val>
          <c:smooth val="0"/>
          <c:extLst>
            <c:ext xmlns:c16="http://schemas.microsoft.com/office/drawing/2014/chart" uri="{C3380CC4-5D6E-409C-BE32-E72D297353CC}">
              <c16:uniqueId val="{00000000-5227-42BD-A3B4-7862BFB26016}"/>
            </c:ext>
          </c:extLst>
        </c:ser>
        <c:ser>
          <c:idx val="2"/>
          <c:order val="2"/>
          <c:tx>
            <c:strRef>
              <c:f>'1 GASTOS mensuales'!$A$26</c:f>
              <c:strCache>
                <c:ptCount val="1"/>
                <c:pt idx="0">
                  <c:v>Materiales (cristales etc)</c:v>
                </c:pt>
              </c:strCache>
            </c:strRef>
          </c:tx>
          <c:spPr>
            <a:ln w="28575" cap="rnd">
              <a:solidFill>
                <a:schemeClr val="accent3"/>
              </a:solidFill>
              <a:round/>
            </a:ln>
            <a:effectLst/>
          </c:spPr>
          <c:marker>
            <c:symbol val="none"/>
          </c:marker>
          <c:val>
            <c:numRef>
              <c:f>'1 GASTOS mensuales'!$B$26:$M$26</c:f>
              <c:numCache>
                <c:formatCode>#,##0\ [$€-1]</c:formatCode>
                <c:ptCount val="12"/>
                <c:pt idx="0" formatCode="_(&quot;€&quot;* #,##0.00_);_(&quot;€&quot;* \(#,##0.00\);_(&quot;€&quot;* &quot;-&quot;??_);_(@_)">
                  <c:v>189</c:v>
                </c:pt>
                <c:pt idx="1">
                  <c:v>374</c:v>
                </c:pt>
                <c:pt idx="2" formatCode="_(&quot;€&quot;* #,##0.00_);_(&quot;€&quot;* \(#,##0.00\);_(&quot;€&quot;* &quot;-&quot;??_);_(@_)">
                  <c:v>669</c:v>
                </c:pt>
                <c:pt idx="3">
                  <c:v>677</c:v>
                </c:pt>
                <c:pt idx="4">
                  <c:v>284</c:v>
                </c:pt>
                <c:pt idx="5">
                  <c:v>491</c:v>
                </c:pt>
              </c:numCache>
            </c:numRef>
          </c:val>
          <c:smooth val="0"/>
          <c:extLst>
            <c:ext xmlns:c16="http://schemas.microsoft.com/office/drawing/2014/chart" uri="{C3380CC4-5D6E-409C-BE32-E72D297353CC}">
              <c16:uniqueId val="{00000006-5227-42BD-A3B4-7862BFB26016}"/>
            </c:ext>
          </c:extLst>
        </c:ser>
        <c:ser>
          <c:idx val="3"/>
          <c:order val="3"/>
          <c:tx>
            <c:strRef>
              <c:f>'1 GASTOS mensuales'!$A$27</c:f>
              <c:strCache>
                <c:ptCount val="1"/>
                <c:pt idx="0">
                  <c:v>Packaging</c:v>
                </c:pt>
              </c:strCache>
            </c:strRef>
          </c:tx>
          <c:spPr>
            <a:ln w="28575" cap="rnd">
              <a:solidFill>
                <a:schemeClr val="accent4"/>
              </a:solidFill>
              <a:round/>
            </a:ln>
            <a:effectLst/>
          </c:spPr>
          <c:marker>
            <c:symbol val="none"/>
          </c:marker>
          <c:val>
            <c:numRef>
              <c:f>'1 GASTOS mensuales'!$B$27:$M$27</c:f>
              <c:numCache>
                <c:formatCode>General</c:formatCode>
                <c:ptCount val="12"/>
                <c:pt idx="0" formatCode="_(&quot;€&quot;* #,##0.00_);_(&quot;€&quot;* \(#,##0.00\);_(&quot;€&quot;* &quot;-&quot;??_);_(@_)">
                  <c:v>60</c:v>
                </c:pt>
                <c:pt idx="1">
                  <c:v>83</c:v>
                </c:pt>
                <c:pt idx="2" formatCode="#,##0\ [$€-1]">
                  <c:v>0</c:v>
                </c:pt>
                <c:pt idx="3" formatCode="#,##0\ [$€-1]">
                  <c:v>293</c:v>
                </c:pt>
                <c:pt idx="4" formatCode="#,##0\ [$€-1]">
                  <c:v>63</c:v>
                </c:pt>
                <c:pt idx="5" formatCode="#,##0\ [$€-1]">
                  <c:v>438</c:v>
                </c:pt>
              </c:numCache>
            </c:numRef>
          </c:val>
          <c:smooth val="0"/>
          <c:extLst>
            <c:ext xmlns:c16="http://schemas.microsoft.com/office/drawing/2014/chart" uri="{C3380CC4-5D6E-409C-BE32-E72D297353CC}">
              <c16:uniqueId val="{00000007-5227-42BD-A3B4-7862BFB26016}"/>
            </c:ext>
          </c:extLst>
        </c:ser>
        <c:ser>
          <c:idx val="4"/>
          <c:order val="4"/>
          <c:tx>
            <c:strRef>
              <c:f>'1 GASTOS mensuales'!$A$28</c:f>
              <c:strCache>
                <c:ptCount val="1"/>
                <c:pt idx="0">
                  <c:v>Mensajería</c:v>
                </c:pt>
              </c:strCache>
            </c:strRef>
          </c:tx>
          <c:spPr>
            <a:ln w="28575" cap="rnd">
              <a:solidFill>
                <a:schemeClr val="accent5"/>
              </a:solidFill>
              <a:round/>
            </a:ln>
            <a:effectLst/>
          </c:spPr>
          <c:marker>
            <c:symbol val="none"/>
          </c:marker>
          <c:val>
            <c:numRef>
              <c:f>'1 GASTOS mensuales'!$B$28:$M$28</c:f>
              <c:numCache>
                <c:formatCode>_("€"* #,##0.00_);_("€"* \(#,##0.00\);_("€"* "-"??_);_(@_)</c:formatCode>
                <c:ptCount val="12"/>
                <c:pt idx="0">
                  <c:v>57.9</c:v>
                </c:pt>
                <c:pt idx="1">
                  <c:v>44.17</c:v>
                </c:pt>
                <c:pt idx="2">
                  <c:v>74</c:v>
                </c:pt>
                <c:pt idx="3" formatCode="#,##0\ [$€-1]">
                  <c:v>101</c:v>
                </c:pt>
                <c:pt idx="4" formatCode="#,##0\ [$€-1]">
                  <c:v>46</c:v>
                </c:pt>
                <c:pt idx="5" formatCode="#,##0\ [$€-1]">
                  <c:v>343</c:v>
                </c:pt>
              </c:numCache>
            </c:numRef>
          </c:val>
          <c:smooth val="0"/>
          <c:extLst>
            <c:ext xmlns:c16="http://schemas.microsoft.com/office/drawing/2014/chart" uri="{C3380CC4-5D6E-409C-BE32-E72D297353CC}">
              <c16:uniqueId val="{00000008-5227-42BD-A3B4-7862BFB26016}"/>
            </c:ext>
          </c:extLst>
        </c:ser>
        <c:ser>
          <c:idx val="5"/>
          <c:order val="5"/>
          <c:tx>
            <c:strRef>
              <c:f>'1 GASTOS mensuales'!$A$30</c:f>
              <c:strCache>
                <c:ptCount val="1"/>
                <c:pt idx="0">
                  <c:v>Contrataciones temporales- impuestos</c:v>
                </c:pt>
              </c:strCache>
            </c:strRef>
          </c:tx>
          <c:spPr>
            <a:ln w="28575" cap="rnd">
              <a:solidFill>
                <a:schemeClr val="accent6"/>
              </a:solidFill>
              <a:round/>
            </a:ln>
            <a:effectLst/>
          </c:spPr>
          <c:marker>
            <c:symbol val="none"/>
          </c:marker>
          <c:val>
            <c:numRef>
              <c:f>'1 GASTOS mensuales'!$B$30:$M$30</c:f>
              <c:numCache>
                <c:formatCode>_("€"* #,##0.00_);_("€"* \(#,##0.00\);_("€"* "-"??_);_(@_)</c:formatCode>
                <c:ptCount val="12"/>
                <c:pt idx="0" formatCode="#,##0\ [$€-1]">
                  <c:v>160</c:v>
                </c:pt>
                <c:pt idx="1">
                  <c:v>230</c:v>
                </c:pt>
                <c:pt idx="2" formatCode="#,##0\ [$€-1]">
                  <c:v>0</c:v>
                </c:pt>
                <c:pt idx="3" formatCode="#,##0\ [$€-1]">
                  <c:v>1100</c:v>
                </c:pt>
                <c:pt idx="4" formatCode="#,##0\ [$€-1]">
                  <c:v>0</c:v>
                </c:pt>
                <c:pt idx="5" formatCode="#,##0\ [$€-1]">
                  <c:v>0</c:v>
                </c:pt>
              </c:numCache>
            </c:numRef>
          </c:val>
          <c:smooth val="0"/>
          <c:extLst>
            <c:ext xmlns:c16="http://schemas.microsoft.com/office/drawing/2014/chart" uri="{C3380CC4-5D6E-409C-BE32-E72D297353CC}">
              <c16:uniqueId val="{00000009-5227-42BD-A3B4-7862BFB26016}"/>
            </c:ext>
          </c:extLst>
        </c:ser>
        <c:dLbls>
          <c:showLegendKey val="0"/>
          <c:showVal val="0"/>
          <c:showCatName val="0"/>
          <c:showSerName val="0"/>
          <c:showPercent val="0"/>
          <c:showBubbleSize val="0"/>
        </c:dLbls>
        <c:smooth val="0"/>
        <c:axId val="116549551"/>
        <c:axId val="103890703"/>
        <c:extLst/>
      </c:lineChart>
      <c:catAx>
        <c:axId val="11654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890703"/>
        <c:crosses val="autoZero"/>
        <c:auto val="1"/>
        <c:lblAlgn val="ctr"/>
        <c:lblOffset val="100"/>
        <c:noMultiLvlLbl val="0"/>
      </c:catAx>
      <c:valAx>
        <c:axId val="103890703"/>
        <c:scaling>
          <c:orientation val="minMax"/>
        </c:scaling>
        <c:delete val="0"/>
        <c:axPos val="l"/>
        <c:majorGridlines>
          <c:spPr>
            <a:ln w="9525" cap="flat" cmpd="sng" algn="ctr">
              <a:solidFill>
                <a:schemeClr val="tx1">
                  <a:lumMod val="15000"/>
                  <a:lumOff val="85000"/>
                </a:schemeClr>
              </a:solidFill>
              <a:round/>
            </a:ln>
            <a:effectLst/>
          </c:spPr>
        </c:majorGridlines>
        <c:numFmt formatCode="#,##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65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Impuestos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'1 GASTOS mensuales'!$A$32</c:f>
              <c:strCache>
                <c:ptCount val="1"/>
                <c:pt idx="0">
                  <c:v>Impuestos sobre la renta IRPF (Se paga una vez al año en Junio del año siguiente)</c:v>
                </c:pt>
              </c:strCache>
            </c:strRef>
          </c:tx>
          <c:spPr>
            <a:ln w="28575" cap="rnd">
              <a:solidFill>
                <a:schemeClr val="accent1"/>
              </a:solidFill>
              <a:round/>
            </a:ln>
            <a:effectLst/>
          </c:spPr>
          <c:marker>
            <c:symbol val="none"/>
          </c:marker>
          <c:val>
            <c:numRef>
              <c:f>'1 GASTOS mensuales'!$B$32:$M$32</c:f>
              <c:numCache>
                <c:formatCode>_("€"* #,##0.00_);_("€"* \(#,##0.00\);_("€"* "-"??_);_(@_)</c:formatCode>
                <c:ptCount val="12"/>
                <c:pt idx="5" formatCode="#,##0\ [$€-1]">
                  <c:v>3465</c:v>
                </c:pt>
              </c:numCache>
            </c:numRef>
          </c:val>
          <c:smooth val="0"/>
          <c:extLst>
            <c:ext xmlns:c16="http://schemas.microsoft.com/office/drawing/2014/chart" uri="{C3380CC4-5D6E-409C-BE32-E72D297353CC}">
              <c16:uniqueId val="{00000000-D4D5-463A-A19A-616A9BBF9311}"/>
            </c:ext>
          </c:extLst>
        </c:ser>
        <c:ser>
          <c:idx val="1"/>
          <c:order val="1"/>
          <c:tx>
            <c:strRef>
              <c:f>'1 GASTOS mensuales'!$A$33</c:f>
              <c:strCache>
                <c:ptCount val="1"/>
                <c:pt idx="0">
                  <c:v>Pagos trimestrales impuestos</c:v>
                </c:pt>
              </c:strCache>
            </c:strRef>
          </c:tx>
          <c:spPr>
            <a:ln w="28575" cap="rnd">
              <a:solidFill>
                <a:schemeClr val="accent2"/>
              </a:solidFill>
              <a:round/>
            </a:ln>
            <a:effectLst/>
          </c:spPr>
          <c:marker>
            <c:symbol val="none"/>
          </c:marker>
          <c:val>
            <c:numRef>
              <c:f>'1 GASTOS mensuales'!$B$33:$M$33</c:f>
              <c:numCache>
                <c:formatCode>_("€"* #,##0.00_);_("€"* \(#,##0.00\);_("€"* "-"??_);_(@_)</c:formatCode>
                <c:ptCount val="12"/>
                <c:pt idx="0">
                  <c:v>240.08</c:v>
                </c:pt>
                <c:pt idx="3" formatCode="#,##0\ [$€-1]">
                  <c:v>300</c:v>
                </c:pt>
              </c:numCache>
            </c:numRef>
          </c:val>
          <c:smooth val="0"/>
          <c:extLst>
            <c:ext xmlns:c16="http://schemas.microsoft.com/office/drawing/2014/chart" uri="{C3380CC4-5D6E-409C-BE32-E72D297353CC}">
              <c16:uniqueId val="{00000006-D4D5-463A-A19A-616A9BBF9311}"/>
            </c:ext>
          </c:extLst>
        </c:ser>
        <c:dLbls>
          <c:showLegendKey val="0"/>
          <c:showVal val="0"/>
          <c:showCatName val="0"/>
          <c:showSerName val="0"/>
          <c:showPercent val="0"/>
          <c:showBubbleSize val="0"/>
        </c:dLbls>
        <c:smooth val="0"/>
        <c:axId val="116549551"/>
        <c:axId val="103890703"/>
        <c:extLst/>
      </c:lineChart>
      <c:catAx>
        <c:axId val="11654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03890703"/>
        <c:crosses val="autoZero"/>
        <c:auto val="1"/>
        <c:lblAlgn val="ctr"/>
        <c:lblOffset val="100"/>
        <c:noMultiLvlLbl val="0"/>
      </c:catAx>
      <c:valAx>
        <c:axId val="1038907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1654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Evolución</a:t>
            </a:r>
            <a:r>
              <a:rPr lang="es-ES" baseline="0"/>
              <a:t> anual gastos</a:t>
            </a:r>
            <a:endParaRPr lang="es-E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906923486058284"/>
          <c:y val="0.19027776549357436"/>
          <c:w val="0.84648622047244093"/>
          <c:h val="0.73111111111111116"/>
        </c:manualLayout>
      </c:layout>
      <c:barChart>
        <c:barDir val="col"/>
        <c:grouping val="clustered"/>
        <c:varyColors val="0"/>
        <c:ser>
          <c:idx val="0"/>
          <c:order val="0"/>
          <c:tx>
            <c:strRef>
              <c:f>'1 GASTOS mensuales'!$B$4</c:f>
              <c:strCache>
                <c:ptCount val="1"/>
                <c:pt idx="0">
                  <c:v>Ene</c:v>
                </c:pt>
              </c:strCache>
            </c:strRef>
          </c:tx>
          <c:spPr>
            <a:solidFill>
              <a:schemeClr val="accent6">
                <a:shade val="40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mensuales'!$B$5:$B$22</c15:sqref>
                  </c15:fullRef>
                </c:ext>
              </c:extLst>
              <c:f>'1 GASTOS mensuales'!$B$22</c:f>
              <c:numCache>
                <c:formatCode>#,##0\ [$€-1]</c:formatCode>
                <c:ptCount val="1"/>
                <c:pt idx="0">
                  <c:v>1529.4299999999998</c:v>
                </c:pt>
              </c:numCache>
            </c:numRef>
          </c:val>
          <c:extLst>
            <c:ext xmlns:c16="http://schemas.microsoft.com/office/drawing/2014/chart" uri="{C3380CC4-5D6E-409C-BE32-E72D297353CC}">
              <c16:uniqueId val="{00000000-6426-4D30-A648-E60BC7729679}"/>
            </c:ext>
          </c:extLst>
        </c:ser>
        <c:ser>
          <c:idx val="1"/>
          <c:order val="1"/>
          <c:tx>
            <c:strRef>
              <c:f>'1 GASTOS mensuales'!$C$4</c:f>
              <c:strCache>
                <c:ptCount val="1"/>
                <c:pt idx="0">
                  <c:v>Feb</c:v>
                </c:pt>
              </c:strCache>
            </c:strRef>
          </c:tx>
          <c:spPr>
            <a:solidFill>
              <a:schemeClr val="accent6">
                <a:shade val="51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mensuales'!$C$5:$C$22</c15:sqref>
                  </c15:fullRef>
                </c:ext>
              </c:extLst>
              <c:f>'1 GASTOS mensuales'!$C$22</c:f>
              <c:numCache>
                <c:formatCode>#,##0\ [$€-1]</c:formatCode>
                <c:ptCount val="1"/>
                <c:pt idx="0">
                  <c:v>3939.59</c:v>
                </c:pt>
              </c:numCache>
            </c:numRef>
          </c:val>
          <c:extLst>
            <c:ext xmlns:c16="http://schemas.microsoft.com/office/drawing/2014/chart" uri="{C3380CC4-5D6E-409C-BE32-E72D297353CC}">
              <c16:uniqueId val="{00000001-6426-4D30-A648-E60BC7729679}"/>
            </c:ext>
          </c:extLst>
        </c:ser>
        <c:ser>
          <c:idx val="2"/>
          <c:order val="2"/>
          <c:tx>
            <c:strRef>
              <c:f>'1 GASTOS mensuales'!$D$4</c:f>
              <c:strCache>
                <c:ptCount val="1"/>
                <c:pt idx="0">
                  <c:v>Mar</c:v>
                </c:pt>
              </c:strCache>
            </c:strRef>
          </c:tx>
          <c:spPr>
            <a:solidFill>
              <a:schemeClr val="accent6">
                <a:shade val="62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mensuales'!$D$5:$D$22</c15:sqref>
                  </c15:fullRef>
                </c:ext>
              </c:extLst>
              <c:f>'1 GASTOS mensuales'!$D$22</c:f>
              <c:numCache>
                <c:formatCode>#,##0\ [$€-1]</c:formatCode>
                <c:ptCount val="1"/>
                <c:pt idx="0">
                  <c:v>2613.98</c:v>
                </c:pt>
              </c:numCache>
            </c:numRef>
          </c:val>
          <c:extLst>
            <c:ext xmlns:c16="http://schemas.microsoft.com/office/drawing/2014/chart" uri="{C3380CC4-5D6E-409C-BE32-E72D297353CC}">
              <c16:uniqueId val="{00000002-6426-4D30-A648-E60BC7729679}"/>
            </c:ext>
          </c:extLst>
        </c:ser>
        <c:ser>
          <c:idx val="3"/>
          <c:order val="3"/>
          <c:tx>
            <c:strRef>
              <c:f>'1 GASTOS mensuales'!$E$4</c:f>
              <c:strCache>
                <c:ptCount val="1"/>
                <c:pt idx="0">
                  <c:v>Abr</c:v>
                </c:pt>
              </c:strCache>
            </c:strRef>
          </c:tx>
          <c:spPr>
            <a:solidFill>
              <a:schemeClr val="accent6">
                <a:shade val="73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mensuales'!$E$5:$E$22</c15:sqref>
                  </c15:fullRef>
                </c:ext>
              </c:extLst>
              <c:f>'1 GASTOS mensuales'!$E$22</c:f>
              <c:numCache>
                <c:formatCode>#,##0\ [$€-1]</c:formatCode>
                <c:ptCount val="1"/>
                <c:pt idx="0">
                  <c:v>3347.9700000000003</c:v>
                </c:pt>
              </c:numCache>
            </c:numRef>
          </c:val>
          <c:extLst>
            <c:ext xmlns:c16="http://schemas.microsoft.com/office/drawing/2014/chart" uri="{C3380CC4-5D6E-409C-BE32-E72D297353CC}">
              <c16:uniqueId val="{00000003-6426-4D30-A648-E60BC7729679}"/>
            </c:ext>
          </c:extLst>
        </c:ser>
        <c:ser>
          <c:idx val="4"/>
          <c:order val="4"/>
          <c:tx>
            <c:strRef>
              <c:f>'1 GASTOS mensuales'!$F$4</c:f>
              <c:strCache>
                <c:ptCount val="1"/>
                <c:pt idx="0">
                  <c:v>May</c:v>
                </c:pt>
              </c:strCache>
            </c:strRef>
          </c:tx>
          <c:spPr>
            <a:solidFill>
              <a:schemeClr val="accent6">
                <a:shade val="83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mensuales'!$F$5:$F$22</c15:sqref>
                  </c15:fullRef>
                </c:ext>
              </c:extLst>
              <c:f>'1 GASTOS mensuales'!$F$22</c:f>
              <c:numCache>
                <c:formatCode>#,##0\ [$€-1]</c:formatCode>
                <c:ptCount val="1"/>
                <c:pt idx="0">
                  <c:v>2625.8</c:v>
                </c:pt>
              </c:numCache>
            </c:numRef>
          </c:val>
          <c:extLst>
            <c:ext xmlns:c16="http://schemas.microsoft.com/office/drawing/2014/chart" uri="{C3380CC4-5D6E-409C-BE32-E72D297353CC}">
              <c16:uniqueId val="{00000004-6426-4D30-A648-E60BC7729679}"/>
            </c:ext>
          </c:extLst>
        </c:ser>
        <c:ser>
          <c:idx val="5"/>
          <c:order val="5"/>
          <c:tx>
            <c:strRef>
              <c:f>'1 GASTOS mensuales'!$G$4</c:f>
              <c:strCache>
                <c:ptCount val="1"/>
                <c:pt idx="0">
                  <c:v>Jun</c:v>
                </c:pt>
              </c:strCache>
            </c:strRef>
          </c:tx>
          <c:spPr>
            <a:solidFill>
              <a:schemeClr val="accent6">
                <a:shade val="94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mensuales'!$G$5:$G$22</c15:sqref>
                  </c15:fullRef>
                </c:ext>
              </c:extLst>
              <c:f>'1 GASTOS mensuales'!$G$22</c:f>
              <c:numCache>
                <c:formatCode>#,##0\ [$€-1]</c:formatCode>
                <c:ptCount val="1"/>
                <c:pt idx="0">
                  <c:v>3726.66</c:v>
                </c:pt>
              </c:numCache>
            </c:numRef>
          </c:val>
          <c:extLst>
            <c:ext xmlns:c16="http://schemas.microsoft.com/office/drawing/2014/chart" uri="{C3380CC4-5D6E-409C-BE32-E72D297353CC}">
              <c16:uniqueId val="{00000005-6426-4D30-A648-E60BC7729679}"/>
            </c:ext>
          </c:extLst>
        </c:ser>
        <c:ser>
          <c:idx val="6"/>
          <c:order val="6"/>
          <c:tx>
            <c:strRef>
              <c:f>'1 GASTOS mensuales'!$H$4</c:f>
              <c:strCache>
                <c:ptCount val="1"/>
                <c:pt idx="0">
                  <c:v>Jul</c:v>
                </c:pt>
              </c:strCache>
            </c:strRef>
          </c:tx>
          <c:spPr>
            <a:solidFill>
              <a:schemeClr val="accent6">
                <a:tint val="95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mensuales'!$H$5:$H$22</c15:sqref>
                  </c15:fullRef>
                </c:ext>
              </c:extLst>
              <c:f>'1 GASTOS mensuales'!$H$22</c:f>
              <c:numCache>
                <c:formatCode>#,##0\ [$€-1]</c:formatCode>
                <c:ptCount val="1"/>
                <c:pt idx="0">
                  <c:v>0</c:v>
                </c:pt>
              </c:numCache>
            </c:numRef>
          </c:val>
          <c:extLst>
            <c:ext xmlns:c16="http://schemas.microsoft.com/office/drawing/2014/chart" uri="{C3380CC4-5D6E-409C-BE32-E72D297353CC}">
              <c16:uniqueId val="{00000006-6426-4D30-A648-E60BC7729679}"/>
            </c:ext>
          </c:extLst>
        </c:ser>
        <c:ser>
          <c:idx val="7"/>
          <c:order val="7"/>
          <c:tx>
            <c:strRef>
              <c:f>'1 GASTOS mensuales'!$I$4</c:f>
              <c:strCache>
                <c:ptCount val="1"/>
                <c:pt idx="0">
                  <c:v>Ago</c:v>
                </c:pt>
              </c:strCache>
            </c:strRef>
          </c:tx>
          <c:spPr>
            <a:solidFill>
              <a:schemeClr val="accent6">
                <a:tint val="84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mensuales'!$I$5:$I$22</c15:sqref>
                  </c15:fullRef>
                </c:ext>
              </c:extLst>
              <c:f>'1 GASTOS mensuales'!$I$22</c:f>
              <c:numCache>
                <c:formatCode>#,##0\ [$€-1]</c:formatCode>
                <c:ptCount val="1"/>
                <c:pt idx="0">
                  <c:v>0</c:v>
                </c:pt>
              </c:numCache>
            </c:numRef>
          </c:val>
          <c:extLst>
            <c:ext xmlns:c16="http://schemas.microsoft.com/office/drawing/2014/chart" uri="{C3380CC4-5D6E-409C-BE32-E72D297353CC}">
              <c16:uniqueId val="{00000007-6426-4D30-A648-E60BC7729679}"/>
            </c:ext>
          </c:extLst>
        </c:ser>
        <c:ser>
          <c:idx val="8"/>
          <c:order val="8"/>
          <c:tx>
            <c:strRef>
              <c:f>'1 GASTOS mensuales'!$J$4</c:f>
              <c:strCache>
                <c:ptCount val="1"/>
                <c:pt idx="0">
                  <c:v>Sep</c:v>
                </c:pt>
              </c:strCache>
            </c:strRef>
          </c:tx>
          <c:spPr>
            <a:solidFill>
              <a:schemeClr val="accent6">
                <a:tint val="74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mensuales'!$J$5:$J$22</c15:sqref>
                  </c15:fullRef>
                </c:ext>
              </c:extLst>
              <c:f>'1 GASTOS mensuales'!$J$22</c:f>
              <c:numCache>
                <c:formatCode>#,##0\ [$€-1]</c:formatCode>
                <c:ptCount val="1"/>
                <c:pt idx="0">
                  <c:v>0</c:v>
                </c:pt>
              </c:numCache>
            </c:numRef>
          </c:val>
          <c:extLst>
            <c:ext xmlns:c16="http://schemas.microsoft.com/office/drawing/2014/chart" uri="{C3380CC4-5D6E-409C-BE32-E72D297353CC}">
              <c16:uniqueId val="{00000008-6426-4D30-A648-E60BC7729679}"/>
            </c:ext>
          </c:extLst>
        </c:ser>
        <c:ser>
          <c:idx val="9"/>
          <c:order val="9"/>
          <c:tx>
            <c:strRef>
              <c:f>'1 GASTOS mensuales'!$K$4</c:f>
              <c:strCache>
                <c:ptCount val="1"/>
                <c:pt idx="0">
                  <c:v>Oct</c:v>
                </c:pt>
              </c:strCache>
            </c:strRef>
          </c:tx>
          <c:spPr>
            <a:solidFill>
              <a:schemeClr val="accent6">
                <a:tint val="63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mensuales'!$K$5:$K$22</c15:sqref>
                  </c15:fullRef>
                </c:ext>
              </c:extLst>
              <c:f>'1 GASTOS mensuales'!$K$22</c:f>
              <c:numCache>
                <c:formatCode>#,##0\ [$€-1]</c:formatCode>
                <c:ptCount val="1"/>
                <c:pt idx="0">
                  <c:v>0</c:v>
                </c:pt>
              </c:numCache>
            </c:numRef>
          </c:val>
          <c:extLst>
            <c:ext xmlns:c16="http://schemas.microsoft.com/office/drawing/2014/chart" uri="{C3380CC4-5D6E-409C-BE32-E72D297353CC}">
              <c16:uniqueId val="{00000009-6426-4D30-A648-E60BC7729679}"/>
            </c:ext>
          </c:extLst>
        </c:ser>
        <c:ser>
          <c:idx val="10"/>
          <c:order val="10"/>
          <c:tx>
            <c:strRef>
              <c:f>'1 GASTOS mensuales'!$L$4</c:f>
              <c:strCache>
                <c:ptCount val="1"/>
                <c:pt idx="0">
                  <c:v>Nov</c:v>
                </c:pt>
              </c:strCache>
            </c:strRef>
          </c:tx>
          <c:spPr>
            <a:solidFill>
              <a:schemeClr val="accent6">
                <a:tint val="52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mensuales'!$L$5:$L$22</c15:sqref>
                  </c15:fullRef>
                </c:ext>
              </c:extLst>
              <c:f>'1 GASTOS mensuales'!$L$22</c:f>
              <c:numCache>
                <c:formatCode>#,##0\ [$€-1]</c:formatCode>
                <c:ptCount val="1"/>
                <c:pt idx="0">
                  <c:v>0</c:v>
                </c:pt>
              </c:numCache>
            </c:numRef>
          </c:val>
          <c:extLst>
            <c:ext xmlns:c16="http://schemas.microsoft.com/office/drawing/2014/chart" uri="{C3380CC4-5D6E-409C-BE32-E72D297353CC}">
              <c16:uniqueId val="{0000000A-6426-4D30-A648-E60BC7729679}"/>
            </c:ext>
          </c:extLst>
        </c:ser>
        <c:ser>
          <c:idx val="11"/>
          <c:order val="11"/>
          <c:tx>
            <c:strRef>
              <c:f>'1 GASTOS mensuales'!$M$4</c:f>
              <c:strCache>
                <c:ptCount val="1"/>
                <c:pt idx="0">
                  <c:v>Dic</c:v>
                </c:pt>
              </c:strCache>
            </c:strRef>
          </c:tx>
          <c:spPr>
            <a:solidFill>
              <a:schemeClr val="accent6">
                <a:tint val="41000"/>
              </a:schemeClr>
            </a:solidFill>
            <a:ln>
              <a:noFill/>
            </a:ln>
            <a:effectLst/>
          </c:spPr>
          <c:invertIfNegative val="0"/>
          <c:cat>
            <c:strRef>
              <c:extLst>
                <c:ext xmlns:c15="http://schemas.microsoft.com/office/drawing/2012/chart" uri="{02D57815-91ED-43cb-92C2-25804820EDAC}">
                  <c15:fullRef>
                    <c15:sqref>'1 GASTOS mensuales'!$A$5:$A$22</c15:sqref>
                  </c15:fullRef>
                </c:ext>
              </c:extLst>
              <c:f>'1 GASTOS mensuales'!$A$22</c:f>
              <c:strCache>
                <c:ptCount val="1"/>
                <c:pt idx="0">
                  <c:v>TOTAL</c:v>
                </c:pt>
              </c:strCache>
            </c:strRef>
          </c:cat>
          <c:val>
            <c:numRef>
              <c:extLst>
                <c:ext xmlns:c15="http://schemas.microsoft.com/office/drawing/2012/chart" uri="{02D57815-91ED-43cb-92C2-25804820EDAC}">
                  <c15:fullRef>
                    <c15:sqref>'1 GASTOS mensuales'!$M$5:$M$22</c15:sqref>
                  </c15:fullRef>
                </c:ext>
              </c:extLst>
              <c:f>'1 GASTOS mensuales'!$M$22</c:f>
              <c:numCache>
                <c:formatCode>#,##0\ [$€-1]</c:formatCode>
                <c:ptCount val="1"/>
                <c:pt idx="0">
                  <c:v>0</c:v>
                </c:pt>
              </c:numCache>
            </c:numRef>
          </c:val>
          <c:extLst>
            <c:ext xmlns:c16="http://schemas.microsoft.com/office/drawing/2014/chart" uri="{C3380CC4-5D6E-409C-BE32-E72D297353CC}">
              <c16:uniqueId val="{0000000B-6426-4D30-A648-E60BC7729679}"/>
            </c:ext>
          </c:extLst>
        </c:ser>
        <c:dLbls>
          <c:showLegendKey val="0"/>
          <c:showVal val="0"/>
          <c:showCatName val="0"/>
          <c:showSerName val="0"/>
          <c:showPercent val="0"/>
          <c:showBubbleSize val="0"/>
        </c:dLbls>
        <c:gapWidth val="219"/>
        <c:overlap val="-27"/>
        <c:axId val="1247621216"/>
        <c:axId val="1247621696"/>
      </c:barChart>
      <c:catAx>
        <c:axId val="124762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47621696"/>
        <c:crosses val="autoZero"/>
        <c:auto val="1"/>
        <c:lblAlgn val="ctr"/>
        <c:lblOffset val="100"/>
        <c:noMultiLvlLbl val="0"/>
      </c:catAx>
      <c:valAx>
        <c:axId val="1247621696"/>
        <c:scaling>
          <c:orientation val="minMax"/>
        </c:scaling>
        <c:delete val="0"/>
        <c:axPos val="l"/>
        <c:majorGridlines>
          <c:spPr>
            <a:ln w="9525" cap="flat" cmpd="sng" algn="ctr">
              <a:solidFill>
                <a:schemeClr val="tx1">
                  <a:lumMod val="15000"/>
                  <a:lumOff val="85000"/>
                </a:schemeClr>
              </a:solidFill>
              <a:round/>
            </a:ln>
            <a:effectLst/>
          </c:spPr>
        </c:majorGridlines>
        <c:numFmt formatCode="#,##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4762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Evolución anual partidas más importantes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'1 GASTOS mensuales'!$B$4</c:f>
              <c:strCache>
                <c:ptCount val="1"/>
                <c:pt idx="0">
                  <c:v>Ene</c:v>
                </c:pt>
              </c:strCache>
            </c:strRef>
          </c:tx>
          <c:spPr>
            <a:solidFill>
              <a:schemeClr val="accent1"/>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mensuales'!$B$5:$B$21</c15:sqref>
                  </c15:fullRef>
                </c:ext>
              </c:extLst>
              <c:f>('1 GASTOS mensuales'!$B$11,'1 GASTOS mensuales'!$B$16,'1 GASTOS mensuales'!$B$18,'1 GASTOS mensuales'!$B$21)</c:f>
              <c:numCache>
                <c:formatCode>#,##0\ [$€-1]</c:formatCode>
                <c:ptCount val="4"/>
                <c:pt idx="0">
                  <c:v>21</c:v>
                </c:pt>
                <c:pt idx="1" formatCode="General">
                  <c:v>0</c:v>
                </c:pt>
                <c:pt idx="2">
                  <c:v>530</c:v>
                </c:pt>
                <c:pt idx="3">
                  <c:v>400</c:v>
                </c:pt>
              </c:numCache>
            </c:numRef>
          </c:val>
          <c:extLst>
            <c:ext xmlns:c16="http://schemas.microsoft.com/office/drawing/2014/chart" uri="{C3380CC4-5D6E-409C-BE32-E72D297353CC}">
              <c16:uniqueId val="{00000000-3CE9-4A99-800D-F1375CE32B3F}"/>
            </c:ext>
          </c:extLst>
        </c:ser>
        <c:ser>
          <c:idx val="1"/>
          <c:order val="1"/>
          <c:tx>
            <c:strRef>
              <c:f>'1 GASTOS mensuales'!$C$4</c:f>
              <c:strCache>
                <c:ptCount val="1"/>
                <c:pt idx="0">
                  <c:v>Feb</c:v>
                </c:pt>
              </c:strCache>
            </c:strRef>
          </c:tx>
          <c:spPr>
            <a:solidFill>
              <a:schemeClr val="accent3"/>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mensuales'!$C$5:$C$21</c15:sqref>
                  </c15:fullRef>
                </c:ext>
              </c:extLst>
              <c:f>('1 GASTOS mensuales'!$C$11,'1 GASTOS mensuales'!$C$16,'1 GASTOS mensuales'!$C$18,'1 GASTOS mensuales'!$C$21)</c:f>
              <c:numCache>
                <c:formatCode>#,##0\ [$€-1]</c:formatCode>
                <c:ptCount val="4"/>
                <c:pt idx="0">
                  <c:v>1921</c:v>
                </c:pt>
                <c:pt idx="1" formatCode="_(&quot;€&quot;* #,##0.00_);_(&quot;€&quot;* \(#,##0.00\);_(&quot;€&quot;* &quot;-&quot;??_);_(@_)">
                  <c:v>172.52</c:v>
                </c:pt>
                <c:pt idx="2">
                  <c:v>105</c:v>
                </c:pt>
                <c:pt idx="3">
                  <c:v>400</c:v>
                </c:pt>
              </c:numCache>
            </c:numRef>
          </c:val>
          <c:extLst>
            <c:ext xmlns:c16="http://schemas.microsoft.com/office/drawing/2014/chart" uri="{C3380CC4-5D6E-409C-BE32-E72D297353CC}">
              <c16:uniqueId val="{00000001-3CE9-4A99-800D-F1375CE32B3F}"/>
            </c:ext>
          </c:extLst>
        </c:ser>
        <c:ser>
          <c:idx val="2"/>
          <c:order val="2"/>
          <c:tx>
            <c:strRef>
              <c:f>'1 GASTOS mensuales'!$D$4</c:f>
              <c:strCache>
                <c:ptCount val="1"/>
                <c:pt idx="0">
                  <c:v>Mar</c:v>
                </c:pt>
              </c:strCache>
            </c:strRef>
          </c:tx>
          <c:spPr>
            <a:solidFill>
              <a:schemeClr val="accent5"/>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mensuales'!$D$5:$D$21</c15:sqref>
                  </c15:fullRef>
                </c:ext>
              </c:extLst>
              <c:f>('1 GASTOS mensuales'!$D$11,'1 GASTOS mensuales'!$D$16,'1 GASTOS mensuales'!$D$18,'1 GASTOS mensuales'!$D$21)</c:f>
              <c:numCache>
                <c:formatCode>#,##0\ [$€-1]</c:formatCode>
                <c:ptCount val="4"/>
                <c:pt idx="0">
                  <c:v>608</c:v>
                </c:pt>
                <c:pt idx="1" formatCode="_(&quot;€&quot;* #,##0.00_);_(&quot;€&quot;* \(#,##0.00\);_(&quot;€&quot;* &quot;-&quot;??_);_(@_)">
                  <c:v>248</c:v>
                </c:pt>
                <c:pt idx="2">
                  <c:v>0</c:v>
                </c:pt>
                <c:pt idx="3">
                  <c:v>400</c:v>
                </c:pt>
              </c:numCache>
            </c:numRef>
          </c:val>
          <c:extLst>
            <c:ext xmlns:c16="http://schemas.microsoft.com/office/drawing/2014/chart" uri="{C3380CC4-5D6E-409C-BE32-E72D297353CC}">
              <c16:uniqueId val="{00000002-3CE9-4A99-800D-F1375CE32B3F}"/>
            </c:ext>
          </c:extLst>
        </c:ser>
        <c:ser>
          <c:idx val="3"/>
          <c:order val="3"/>
          <c:tx>
            <c:strRef>
              <c:f>'1 GASTOS mensuales'!$E$4</c:f>
              <c:strCache>
                <c:ptCount val="1"/>
                <c:pt idx="0">
                  <c:v>Abr</c:v>
                </c:pt>
              </c:strCache>
            </c:strRef>
          </c:tx>
          <c:spPr>
            <a:solidFill>
              <a:schemeClr val="accent1">
                <a:lumMod val="6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mensuales'!$E$5:$E$21</c15:sqref>
                  </c15:fullRef>
                </c:ext>
              </c:extLst>
              <c:f>('1 GASTOS mensuales'!$E$11,'1 GASTOS mensuales'!$E$16,'1 GASTOS mensuales'!$E$18,'1 GASTOS mensuales'!$E$21)</c:f>
              <c:numCache>
                <c:formatCode>#,##0\ [$€-1]</c:formatCode>
                <c:ptCount val="4"/>
                <c:pt idx="0">
                  <c:v>0</c:v>
                </c:pt>
                <c:pt idx="1">
                  <c:v>179</c:v>
                </c:pt>
                <c:pt idx="2">
                  <c:v>1224</c:v>
                </c:pt>
                <c:pt idx="3">
                  <c:v>400</c:v>
                </c:pt>
              </c:numCache>
            </c:numRef>
          </c:val>
          <c:extLst>
            <c:ext xmlns:c16="http://schemas.microsoft.com/office/drawing/2014/chart" uri="{C3380CC4-5D6E-409C-BE32-E72D297353CC}">
              <c16:uniqueId val="{00000003-3CE9-4A99-800D-F1375CE32B3F}"/>
            </c:ext>
          </c:extLst>
        </c:ser>
        <c:ser>
          <c:idx val="4"/>
          <c:order val="4"/>
          <c:tx>
            <c:strRef>
              <c:f>'1 GASTOS mensuales'!$F$4</c:f>
              <c:strCache>
                <c:ptCount val="1"/>
                <c:pt idx="0">
                  <c:v>May</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mensuales'!$F$5:$F$21</c15:sqref>
                  </c15:fullRef>
                </c:ext>
              </c:extLst>
              <c:f>('1 GASTOS mensuales'!$F$11,'1 GASTOS mensuales'!$F$16,'1 GASTOS mensuales'!$F$18,'1 GASTOS mensuales'!$F$21)</c:f>
              <c:numCache>
                <c:formatCode>#,##0\ [$€-1]</c:formatCode>
                <c:ptCount val="4"/>
                <c:pt idx="0">
                  <c:v>0</c:v>
                </c:pt>
                <c:pt idx="1">
                  <c:v>160</c:v>
                </c:pt>
                <c:pt idx="2">
                  <c:v>155.80000000000001</c:v>
                </c:pt>
                <c:pt idx="3">
                  <c:v>400</c:v>
                </c:pt>
              </c:numCache>
            </c:numRef>
          </c:val>
          <c:extLst>
            <c:ext xmlns:c16="http://schemas.microsoft.com/office/drawing/2014/chart" uri="{C3380CC4-5D6E-409C-BE32-E72D297353CC}">
              <c16:uniqueId val="{00000004-3CE9-4A99-800D-F1375CE32B3F}"/>
            </c:ext>
          </c:extLst>
        </c:ser>
        <c:ser>
          <c:idx val="5"/>
          <c:order val="5"/>
          <c:tx>
            <c:strRef>
              <c:f>'1 GASTOS mensuales'!$G$4</c:f>
              <c:strCache>
                <c:ptCount val="1"/>
                <c:pt idx="0">
                  <c:v>Jun</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mensuales'!$G$5:$G$21</c15:sqref>
                  </c15:fullRef>
                </c:ext>
              </c:extLst>
              <c:f>('1 GASTOS mensuales'!$G$11,'1 GASTOS mensuales'!$G$16,'1 GASTOS mensuales'!$G$18,'1 GASTOS mensuales'!$G$21)</c:f>
              <c:numCache>
                <c:formatCode>#,##0\ [$€-1]</c:formatCode>
                <c:ptCount val="4"/>
                <c:pt idx="0">
                  <c:v>0</c:v>
                </c:pt>
                <c:pt idx="1">
                  <c:v>120</c:v>
                </c:pt>
                <c:pt idx="2">
                  <c:v>822.66</c:v>
                </c:pt>
                <c:pt idx="3">
                  <c:v>400</c:v>
                </c:pt>
              </c:numCache>
            </c:numRef>
          </c:val>
          <c:extLst>
            <c:ext xmlns:c16="http://schemas.microsoft.com/office/drawing/2014/chart" uri="{C3380CC4-5D6E-409C-BE32-E72D297353CC}">
              <c16:uniqueId val="{00000005-3CE9-4A99-800D-F1375CE32B3F}"/>
            </c:ext>
          </c:extLst>
        </c:ser>
        <c:ser>
          <c:idx val="6"/>
          <c:order val="6"/>
          <c:tx>
            <c:strRef>
              <c:f>'1 GASTOS mensuales'!$H$4</c:f>
              <c:strCache>
                <c:ptCount val="1"/>
                <c:pt idx="0">
                  <c:v>Jul</c:v>
                </c:pt>
              </c:strCache>
            </c:strRef>
          </c:tx>
          <c:spPr>
            <a:solidFill>
              <a:schemeClr val="accent1">
                <a:lumMod val="80000"/>
                <a:lumOff val="2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mensuales'!$H$5:$H$21</c15:sqref>
                  </c15:fullRef>
                </c:ext>
              </c:extLst>
              <c:f>('1 GASTOS mensuales'!$H$11,'1 GASTOS mensuales'!$H$16,'1 GASTOS mensuales'!$H$18,'1 GASTOS mensuales'!$H$21)</c:f>
              <c:numCache>
                <c:formatCode>#,##0\ [$€-1]</c:formatCode>
                <c:ptCount val="4"/>
              </c:numCache>
            </c:numRef>
          </c:val>
          <c:extLst>
            <c:ext xmlns:c16="http://schemas.microsoft.com/office/drawing/2014/chart" uri="{C3380CC4-5D6E-409C-BE32-E72D297353CC}">
              <c16:uniqueId val="{00000006-3CE9-4A99-800D-F1375CE32B3F}"/>
            </c:ext>
          </c:extLst>
        </c:ser>
        <c:ser>
          <c:idx val="7"/>
          <c:order val="7"/>
          <c:tx>
            <c:strRef>
              <c:f>'1 GASTOS mensuales'!$I$4</c:f>
              <c:strCache>
                <c:ptCount val="1"/>
                <c:pt idx="0">
                  <c:v>Ago</c:v>
                </c:pt>
              </c:strCache>
            </c:strRef>
          </c:tx>
          <c:spPr>
            <a:solidFill>
              <a:schemeClr val="accent3">
                <a:lumMod val="80000"/>
                <a:lumOff val="2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mensuales'!$I$5:$I$21</c15:sqref>
                  </c15:fullRef>
                </c:ext>
              </c:extLst>
              <c:f>('1 GASTOS mensuales'!$I$11,'1 GASTOS mensuales'!$I$16,'1 GASTOS mensuales'!$I$18,'1 GASTOS mensuales'!$I$21)</c:f>
              <c:numCache>
                <c:formatCode>#,##0\ [$€-1]</c:formatCode>
                <c:ptCount val="4"/>
              </c:numCache>
            </c:numRef>
          </c:val>
          <c:extLst>
            <c:ext xmlns:c16="http://schemas.microsoft.com/office/drawing/2014/chart" uri="{C3380CC4-5D6E-409C-BE32-E72D297353CC}">
              <c16:uniqueId val="{00000007-3CE9-4A99-800D-F1375CE32B3F}"/>
            </c:ext>
          </c:extLst>
        </c:ser>
        <c:ser>
          <c:idx val="8"/>
          <c:order val="8"/>
          <c:tx>
            <c:strRef>
              <c:f>'1 GASTOS mensuales'!$J$4</c:f>
              <c:strCache>
                <c:ptCount val="1"/>
                <c:pt idx="0">
                  <c:v>Sep</c:v>
                </c:pt>
              </c:strCache>
            </c:strRef>
          </c:tx>
          <c:spPr>
            <a:solidFill>
              <a:schemeClr val="accent5">
                <a:lumMod val="80000"/>
                <a:lumOff val="2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mensuales'!$J$5:$J$21</c15:sqref>
                  </c15:fullRef>
                </c:ext>
              </c:extLst>
              <c:f>('1 GASTOS mensuales'!$J$11,'1 GASTOS mensuales'!$J$16,'1 GASTOS mensuales'!$J$18,'1 GASTOS mensuales'!$J$21)</c:f>
              <c:numCache>
                <c:formatCode>#,##0\ [$€-1]</c:formatCode>
                <c:ptCount val="4"/>
              </c:numCache>
            </c:numRef>
          </c:val>
          <c:extLst>
            <c:ext xmlns:c16="http://schemas.microsoft.com/office/drawing/2014/chart" uri="{C3380CC4-5D6E-409C-BE32-E72D297353CC}">
              <c16:uniqueId val="{00000008-3CE9-4A99-800D-F1375CE32B3F}"/>
            </c:ext>
          </c:extLst>
        </c:ser>
        <c:ser>
          <c:idx val="9"/>
          <c:order val="9"/>
          <c:tx>
            <c:strRef>
              <c:f>'1 GASTOS mensuales'!$K$4</c:f>
              <c:strCache>
                <c:ptCount val="1"/>
                <c:pt idx="0">
                  <c:v>Oct</c:v>
                </c:pt>
              </c:strCache>
            </c:strRef>
          </c:tx>
          <c:spPr>
            <a:solidFill>
              <a:schemeClr val="accent1">
                <a:lumMod val="8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mensuales'!$K$5:$K$21</c15:sqref>
                  </c15:fullRef>
                </c:ext>
              </c:extLst>
              <c:f>('1 GASTOS mensuales'!$K$11,'1 GASTOS mensuales'!$K$16,'1 GASTOS mensuales'!$K$18,'1 GASTOS mensuales'!$K$21)</c:f>
              <c:numCache>
                <c:formatCode>#,##0\ [$€-1]</c:formatCode>
                <c:ptCount val="4"/>
              </c:numCache>
            </c:numRef>
          </c:val>
          <c:extLst>
            <c:ext xmlns:c16="http://schemas.microsoft.com/office/drawing/2014/chart" uri="{C3380CC4-5D6E-409C-BE32-E72D297353CC}">
              <c16:uniqueId val="{00000009-3CE9-4A99-800D-F1375CE32B3F}"/>
            </c:ext>
          </c:extLst>
        </c:ser>
        <c:ser>
          <c:idx val="10"/>
          <c:order val="10"/>
          <c:tx>
            <c:strRef>
              <c:f>'1 GASTOS mensuales'!$L$4</c:f>
              <c:strCache>
                <c:ptCount val="1"/>
                <c:pt idx="0">
                  <c:v>Nov</c:v>
                </c:pt>
              </c:strCache>
            </c:strRef>
          </c:tx>
          <c:spPr>
            <a:solidFill>
              <a:schemeClr val="accent3">
                <a:lumMod val="8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mensuales'!$L$5:$L$21</c15:sqref>
                  </c15:fullRef>
                </c:ext>
              </c:extLst>
              <c:f>('1 GASTOS mensuales'!$L$11,'1 GASTOS mensuales'!$L$16,'1 GASTOS mensuales'!$L$18,'1 GASTOS mensuales'!$L$21)</c:f>
              <c:numCache>
                <c:formatCode>#,##0\ [$€-1]</c:formatCode>
                <c:ptCount val="4"/>
              </c:numCache>
            </c:numRef>
          </c:val>
          <c:extLst>
            <c:ext xmlns:c16="http://schemas.microsoft.com/office/drawing/2014/chart" uri="{C3380CC4-5D6E-409C-BE32-E72D297353CC}">
              <c16:uniqueId val="{0000000A-3CE9-4A99-800D-F1375CE32B3F}"/>
            </c:ext>
          </c:extLst>
        </c:ser>
        <c:ser>
          <c:idx val="11"/>
          <c:order val="11"/>
          <c:tx>
            <c:strRef>
              <c:f>'1 GASTOS mensuales'!$M$4</c:f>
              <c:strCache>
                <c:ptCount val="1"/>
                <c:pt idx="0">
                  <c:v>Dic</c:v>
                </c:pt>
              </c:strCache>
            </c:strRef>
          </c:tx>
          <c:spPr>
            <a:solidFill>
              <a:schemeClr val="accent5">
                <a:lumMod val="80000"/>
              </a:schemeClr>
            </a:solidFill>
            <a:ln>
              <a:noFill/>
            </a:ln>
            <a:effectLst/>
          </c:spPr>
          <c:invertIfNegative val="0"/>
          <c:cat>
            <c:strRef>
              <c:extLst>
                <c:ext xmlns:c15="http://schemas.microsoft.com/office/drawing/2012/chart" uri="{02D57815-91ED-43cb-92C2-25804820EDAC}">
                  <c15:fullRef>
                    <c15:sqref>'1 GASTOS mensuales'!$A$5:$A$21</c15:sqref>
                  </c15:fullRef>
                </c:ext>
              </c:extLst>
              <c:f>('1 GASTOS mensuales'!$A$11,'1 GASTOS mensuales'!$A$16,'1 GASTOS mensuales'!$A$18,'1 GASTOS mensuales'!$A$21)</c:f>
              <c:strCache>
                <c:ptCount val="4"/>
                <c:pt idx="0">
                  <c:v>Publicidad y marketing</c:v>
                </c:pt>
                <c:pt idx="1">
                  <c:v>Formación</c:v>
                </c:pt>
                <c:pt idx="2">
                  <c:v>Web, comunicación, sistemas</c:v>
                </c:pt>
                <c:pt idx="3">
                  <c:v>Asesorías</c:v>
                </c:pt>
              </c:strCache>
            </c:strRef>
          </c:cat>
          <c:val>
            <c:numRef>
              <c:extLst>
                <c:ext xmlns:c15="http://schemas.microsoft.com/office/drawing/2012/chart" uri="{02D57815-91ED-43cb-92C2-25804820EDAC}">
                  <c15:fullRef>
                    <c15:sqref>'1 GASTOS mensuales'!$M$5:$M$21</c15:sqref>
                  </c15:fullRef>
                </c:ext>
              </c:extLst>
              <c:f>('1 GASTOS mensuales'!$M$11,'1 GASTOS mensuales'!$M$16,'1 GASTOS mensuales'!$M$18,'1 GASTOS mensuales'!$M$21)</c:f>
              <c:numCache>
                <c:formatCode>#,##0\ [$€-1]</c:formatCode>
                <c:ptCount val="4"/>
              </c:numCache>
            </c:numRef>
          </c:val>
          <c:extLst>
            <c:ext xmlns:c16="http://schemas.microsoft.com/office/drawing/2014/chart" uri="{C3380CC4-5D6E-409C-BE32-E72D297353CC}">
              <c16:uniqueId val="{0000000B-3CE9-4A99-800D-F1375CE32B3F}"/>
            </c:ext>
          </c:extLst>
        </c:ser>
        <c:dLbls>
          <c:showLegendKey val="0"/>
          <c:showVal val="0"/>
          <c:showCatName val="0"/>
          <c:showSerName val="0"/>
          <c:showPercent val="0"/>
          <c:showBubbleSize val="0"/>
        </c:dLbls>
        <c:gapWidth val="150"/>
        <c:axId val="1288173744"/>
        <c:axId val="1288184304"/>
      </c:barChart>
      <c:catAx>
        <c:axId val="128817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184304"/>
        <c:crosses val="autoZero"/>
        <c:auto val="1"/>
        <c:lblAlgn val="ctr"/>
        <c:lblOffset val="100"/>
        <c:noMultiLvlLbl val="0"/>
      </c:catAx>
      <c:valAx>
        <c:axId val="1288184304"/>
        <c:scaling>
          <c:orientation val="minMax"/>
        </c:scaling>
        <c:delete val="0"/>
        <c:axPos val="l"/>
        <c:majorGridlines>
          <c:spPr>
            <a:ln w="9525" cap="flat" cmpd="sng" algn="ctr">
              <a:solidFill>
                <a:schemeClr val="tx1">
                  <a:lumMod val="15000"/>
                  <a:lumOff val="85000"/>
                </a:schemeClr>
              </a:solidFill>
              <a:round/>
            </a:ln>
            <a:effectLst/>
          </c:spPr>
        </c:majorGridlines>
        <c:numFmt formatCode="#,##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173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Ventas por tipo de producto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7280934657015576E-2"/>
          <c:y val="0.17605144505395173"/>
          <c:w val="0.89678586579365038"/>
          <c:h val="0.75121489224492655"/>
        </c:manualLayout>
      </c:layout>
      <c:lineChart>
        <c:grouping val="standard"/>
        <c:varyColors val="0"/>
        <c:ser>
          <c:idx val="0"/>
          <c:order val="0"/>
          <c:tx>
            <c:strRef>
              <c:f>'2 INGRESOS mensuales'!$A$5</c:f>
              <c:strCache>
                <c:ptCount val="1"/>
                <c:pt idx="0">
                  <c:v>Novias</c:v>
                </c:pt>
              </c:strCache>
            </c:strRef>
          </c:tx>
          <c:spPr>
            <a:ln w="28575" cap="rnd">
              <a:solidFill>
                <a:schemeClr val="accent1"/>
              </a:solidFill>
              <a:round/>
            </a:ln>
            <a:effectLst/>
          </c:spPr>
          <c:marker>
            <c:symbol val="none"/>
          </c:marker>
          <c:cat>
            <c:strRef>
              <c:f>'2 INGRESOS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mensuales'!$B$5:$M$5</c:f>
              <c:numCache>
                <c:formatCode>#,##0\ [$€-1]</c:formatCode>
                <c:ptCount val="12"/>
                <c:pt idx="0">
                  <c:v>2426</c:v>
                </c:pt>
                <c:pt idx="1">
                  <c:v>2674</c:v>
                </c:pt>
                <c:pt idx="2">
                  <c:v>2923</c:v>
                </c:pt>
                <c:pt idx="3">
                  <c:v>4329</c:v>
                </c:pt>
                <c:pt idx="4">
                  <c:v>6210</c:v>
                </c:pt>
                <c:pt idx="5">
                  <c:v>7224</c:v>
                </c:pt>
              </c:numCache>
            </c:numRef>
          </c:val>
          <c:smooth val="0"/>
          <c:extLst>
            <c:ext xmlns:c16="http://schemas.microsoft.com/office/drawing/2014/chart" uri="{C3380CC4-5D6E-409C-BE32-E72D297353CC}">
              <c16:uniqueId val="{00000000-FCF3-46DD-A116-E50551641188}"/>
            </c:ext>
          </c:extLst>
        </c:ser>
        <c:ser>
          <c:idx val="1"/>
          <c:order val="1"/>
          <c:tx>
            <c:strRef>
              <c:f>'2 INGRESOS mensuales'!$A$6</c:f>
              <c:strCache>
                <c:ptCount val="1"/>
                <c:pt idx="0">
                  <c:v>Complementos</c:v>
                </c:pt>
              </c:strCache>
            </c:strRef>
          </c:tx>
          <c:spPr>
            <a:ln w="28575" cap="rnd">
              <a:solidFill>
                <a:schemeClr val="accent2"/>
              </a:solidFill>
              <a:round/>
            </a:ln>
            <a:effectLst/>
          </c:spPr>
          <c:marker>
            <c:symbol val="none"/>
          </c:marker>
          <c:cat>
            <c:strRef>
              <c:f>'2 INGRESOS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mensuales'!$B$6:$M$6</c:f>
              <c:numCache>
                <c:formatCode>#,##0\ [$€-1]</c:formatCode>
                <c:ptCount val="12"/>
                <c:pt idx="0">
                  <c:v>69</c:v>
                </c:pt>
                <c:pt idx="1">
                  <c:v>56</c:v>
                </c:pt>
                <c:pt idx="2">
                  <c:v>267</c:v>
                </c:pt>
                <c:pt idx="3">
                  <c:v>162</c:v>
                </c:pt>
                <c:pt idx="4">
                  <c:v>40</c:v>
                </c:pt>
                <c:pt idx="5">
                  <c:v>297</c:v>
                </c:pt>
              </c:numCache>
            </c:numRef>
          </c:val>
          <c:smooth val="0"/>
          <c:extLst>
            <c:ext xmlns:c16="http://schemas.microsoft.com/office/drawing/2014/chart" uri="{C3380CC4-5D6E-409C-BE32-E72D297353CC}">
              <c16:uniqueId val="{00000001-FCF3-46DD-A116-E50551641188}"/>
            </c:ext>
          </c:extLst>
        </c:ser>
        <c:ser>
          <c:idx val="2"/>
          <c:order val="2"/>
          <c:tx>
            <c:strRef>
              <c:f>'2 INGRESOS mensuales'!$A$7</c:f>
              <c:strCache>
                <c:ptCount val="1"/>
                <c:pt idx="0">
                  <c:v>Productos web, cuadros , cupulas  y varios</c:v>
                </c:pt>
              </c:strCache>
            </c:strRef>
          </c:tx>
          <c:spPr>
            <a:ln w="28575" cap="rnd">
              <a:solidFill>
                <a:schemeClr val="accent3"/>
              </a:solidFill>
              <a:round/>
            </a:ln>
            <a:effectLst/>
          </c:spPr>
          <c:marker>
            <c:symbol val="none"/>
          </c:marker>
          <c:cat>
            <c:strRef>
              <c:f>'2 INGRESOS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mensuales'!$B$7:$M$7</c:f>
              <c:numCache>
                <c:formatCode>#,##0\ [$€-1]</c:formatCode>
                <c:ptCount val="12"/>
                <c:pt idx="0">
                  <c:v>230</c:v>
                </c:pt>
                <c:pt idx="1">
                  <c:v>42</c:v>
                </c:pt>
                <c:pt idx="2">
                  <c:v>266</c:v>
                </c:pt>
                <c:pt idx="3">
                  <c:v>514</c:v>
                </c:pt>
                <c:pt idx="4">
                  <c:v>63</c:v>
                </c:pt>
                <c:pt idx="5">
                  <c:v>0</c:v>
                </c:pt>
              </c:numCache>
            </c:numRef>
          </c:val>
          <c:smooth val="0"/>
          <c:extLst>
            <c:ext xmlns:c16="http://schemas.microsoft.com/office/drawing/2014/chart" uri="{C3380CC4-5D6E-409C-BE32-E72D297353CC}">
              <c16:uniqueId val="{00000002-FCF3-46DD-A116-E50551641188}"/>
            </c:ext>
          </c:extLst>
        </c:ser>
        <c:ser>
          <c:idx val="3"/>
          <c:order val="3"/>
          <c:tx>
            <c:strRef>
              <c:f>'2 INGRESOS mensuales'!$A$8</c:f>
              <c:strCache>
                <c:ptCount val="1"/>
                <c:pt idx="0">
                  <c:v>Talleres</c:v>
                </c:pt>
              </c:strCache>
            </c:strRef>
          </c:tx>
          <c:spPr>
            <a:ln w="28575" cap="rnd">
              <a:solidFill>
                <a:schemeClr val="accent4"/>
              </a:solidFill>
              <a:round/>
            </a:ln>
            <a:effectLst/>
          </c:spPr>
          <c:marker>
            <c:symbol val="none"/>
          </c:marker>
          <c:cat>
            <c:strRef>
              <c:f>'2 INGRESOS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mensuales'!$B$8:$M$8</c:f>
              <c:numCache>
                <c:formatCode>#,##0\ [$€-1]</c:formatCode>
                <c:ptCount val="12"/>
                <c:pt idx="0">
                  <c:v>288</c:v>
                </c:pt>
                <c:pt idx="1">
                  <c:v>0</c:v>
                </c:pt>
                <c:pt idx="2">
                  <c:v>285</c:v>
                </c:pt>
                <c:pt idx="3">
                  <c:v>0</c:v>
                </c:pt>
                <c:pt idx="4">
                  <c:v>280</c:v>
                </c:pt>
                <c:pt idx="5">
                  <c:v>0</c:v>
                </c:pt>
              </c:numCache>
            </c:numRef>
          </c:val>
          <c:smooth val="0"/>
          <c:extLst>
            <c:ext xmlns:c16="http://schemas.microsoft.com/office/drawing/2014/chart" uri="{C3380CC4-5D6E-409C-BE32-E72D297353CC}">
              <c16:uniqueId val="{00000003-FCF3-46DD-A116-E50551641188}"/>
            </c:ext>
          </c:extLst>
        </c:ser>
        <c:ser>
          <c:idx val="4"/>
          <c:order val="4"/>
          <c:tx>
            <c:strRef>
              <c:f>'2 INGRESOS mensuales'!$A$9</c:f>
              <c:strCache>
                <c:ptCount val="1"/>
                <c:pt idx="0">
                  <c:v>Sant Jordi</c:v>
                </c:pt>
              </c:strCache>
            </c:strRef>
          </c:tx>
          <c:spPr>
            <a:ln w="28575" cap="rnd">
              <a:solidFill>
                <a:schemeClr val="accent5"/>
              </a:solidFill>
              <a:round/>
            </a:ln>
            <a:effectLst/>
          </c:spPr>
          <c:marker>
            <c:symbol val="none"/>
          </c:marker>
          <c:cat>
            <c:strRef>
              <c:f>'2 INGRESOS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mensuales'!$B$9:$M$9</c:f>
              <c:numCache>
                <c:formatCode>#,##0\ [$€-1]</c:formatCode>
                <c:ptCount val="12"/>
                <c:pt idx="0">
                  <c:v>0</c:v>
                </c:pt>
                <c:pt idx="1">
                  <c:v>0</c:v>
                </c:pt>
                <c:pt idx="2">
                  <c:v>0</c:v>
                </c:pt>
                <c:pt idx="3" formatCode="_-* #,##0\ &quot;€&quot;_-;\-* #,##0\ &quot;€&quot;_-;_-* &quot;-&quot;??\ &quot;€&quot;_-;_-@_-">
                  <c:v>5855</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4-FCF3-46DD-A116-E50551641188}"/>
            </c:ext>
          </c:extLst>
        </c:ser>
        <c:ser>
          <c:idx val="5"/>
          <c:order val="5"/>
          <c:tx>
            <c:strRef>
              <c:f>'2 INGRESOS mensuales'!$A$10</c:f>
              <c:strCache>
                <c:ptCount val="1"/>
                <c:pt idx="0">
                  <c:v>Premsades</c:v>
                </c:pt>
              </c:strCache>
            </c:strRef>
          </c:tx>
          <c:spPr>
            <a:ln w="28575" cap="rnd">
              <a:solidFill>
                <a:schemeClr val="accent6"/>
              </a:solidFill>
              <a:round/>
            </a:ln>
            <a:effectLst/>
          </c:spPr>
          <c:marker>
            <c:symbol val="none"/>
          </c:marker>
          <c:cat>
            <c:strRef>
              <c:f>'2 INGRESOS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mensuales'!$B$10:$M$10</c:f>
              <c:numCache>
                <c:formatCode>#,##0\ [$€-1]</c:formatCode>
                <c:ptCount val="12"/>
                <c:pt idx="0">
                  <c:v>743</c:v>
                </c:pt>
                <c:pt idx="1">
                  <c:v>571</c:v>
                </c:pt>
                <c:pt idx="2">
                  <c:v>621</c:v>
                </c:pt>
                <c:pt idx="3">
                  <c:v>600</c:v>
                </c:pt>
                <c:pt idx="4">
                  <c:v>920</c:v>
                </c:pt>
                <c:pt idx="5">
                  <c:v>659</c:v>
                </c:pt>
              </c:numCache>
            </c:numRef>
          </c:val>
          <c:smooth val="0"/>
          <c:extLst>
            <c:ext xmlns:c16="http://schemas.microsoft.com/office/drawing/2014/chart" uri="{C3380CC4-5D6E-409C-BE32-E72D297353CC}">
              <c16:uniqueId val="{00000005-FCF3-46DD-A116-E50551641188}"/>
            </c:ext>
          </c:extLst>
        </c:ser>
        <c:dLbls>
          <c:showLegendKey val="0"/>
          <c:showVal val="0"/>
          <c:showCatName val="0"/>
          <c:showSerName val="0"/>
          <c:showPercent val="0"/>
          <c:showBubbleSize val="0"/>
        </c:dLbls>
        <c:smooth val="0"/>
        <c:axId val="2041747551"/>
        <c:axId val="617016047"/>
      </c:lineChart>
      <c:catAx>
        <c:axId val="204174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17016047"/>
        <c:crosses val="autoZero"/>
        <c:auto val="1"/>
        <c:lblAlgn val="ctr"/>
        <c:lblOffset val="100"/>
        <c:noMultiLvlLbl val="0"/>
      </c:catAx>
      <c:valAx>
        <c:axId val="617016047"/>
        <c:scaling>
          <c:orientation val="minMax"/>
        </c:scaling>
        <c:delete val="0"/>
        <c:axPos val="l"/>
        <c:majorGridlines>
          <c:spPr>
            <a:ln w="9525" cap="flat" cmpd="sng" algn="ctr">
              <a:solidFill>
                <a:schemeClr val="tx1">
                  <a:lumMod val="15000"/>
                  <a:lumOff val="85000"/>
                </a:schemeClr>
              </a:solidFill>
              <a:round/>
            </a:ln>
            <a:effectLst/>
          </c:spPr>
        </c:majorGridlines>
        <c:numFmt formatCode="#,##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74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Ventas por canal de venta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7280934657015576E-2"/>
          <c:y val="0.17605144505395173"/>
          <c:w val="0.89678586579365038"/>
          <c:h val="0.75121489224492655"/>
        </c:manualLayout>
      </c:layout>
      <c:lineChart>
        <c:grouping val="standard"/>
        <c:varyColors val="0"/>
        <c:ser>
          <c:idx val="0"/>
          <c:order val="0"/>
          <c:tx>
            <c:strRef>
              <c:f>'2 INGRESOS mensuales'!$A$35</c:f>
              <c:strCache>
                <c:ptCount val="1"/>
                <c:pt idx="0">
                  <c:v>Referencias</c:v>
                </c:pt>
              </c:strCache>
            </c:strRef>
          </c:tx>
          <c:spPr>
            <a:ln w="28575" cap="rnd">
              <a:solidFill>
                <a:schemeClr val="accent1"/>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mensuales'!$B$35:$M$35</c:f>
              <c:numCache>
                <c:formatCode>General</c:formatCode>
                <c:ptCount val="12"/>
                <c:pt idx="0">
                  <c:v>0</c:v>
                </c:pt>
                <c:pt idx="1">
                  <c:v>300</c:v>
                </c:pt>
                <c:pt idx="2">
                  <c:v>310</c:v>
                </c:pt>
                <c:pt idx="3">
                  <c:v>292</c:v>
                </c:pt>
                <c:pt idx="4">
                  <c:v>0</c:v>
                </c:pt>
                <c:pt idx="5">
                  <c:v>0</c:v>
                </c:pt>
              </c:numCache>
            </c:numRef>
          </c:val>
          <c:smooth val="0"/>
          <c:extLst>
            <c:ext xmlns:c16="http://schemas.microsoft.com/office/drawing/2014/chart" uri="{C3380CC4-5D6E-409C-BE32-E72D297353CC}">
              <c16:uniqueId val="{00000000-6038-4C9D-A30D-1F7335410F1A}"/>
            </c:ext>
          </c:extLst>
        </c:ser>
        <c:ser>
          <c:idx val="1"/>
          <c:order val="1"/>
          <c:tx>
            <c:strRef>
              <c:f>'2 INGRESOS mensuales'!$A$36</c:f>
              <c:strCache>
                <c:ptCount val="1"/>
                <c:pt idx="0">
                  <c:v>Google</c:v>
                </c:pt>
              </c:strCache>
            </c:strRef>
          </c:tx>
          <c:spPr>
            <a:ln w="28575" cap="rnd">
              <a:solidFill>
                <a:schemeClr val="accent2"/>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mensuales'!$B$36:$M$36</c:f>
              <c:numCache>
                <c:formatCode>#,##0\ [$€-1]</c:formatCode>
                <c:ptCount val="12"/>
                <c:pt idx="0" formatCode="General">
                  <c:v>600</c:v>
                </c:pt>
                <c:pt idx="1">
                  <c:v>471</c:v>
                </c:pt>
                <c:pt idx="2" formatCode="General">
                  <c:v>635</c:v>
                </c:pt>
                <c:pt idx="3" formatCode="General">
                  <c:v>500</c:v>
                </c:pt>
                <c:pt idx="4" formatCode="General">
                  <c:v>140</c:v>
                </c:pt>
                <c:pt idx="5" formatCode="General">
                  <c:v>155</c:v>
                </c:pt>
              </c:numCache>
            </c:numRef>
          </c:val>
          <c:smooth val="0"/>
          <c:extLst>
            <c:ext xmlns:c16="http://schemas.microsoft.com/office/drawing/2014/chart" uri="{C3380CC4-5D6E-409C-BE32-E72D297353CC}">
              <c16:uniqueId val="{00000001-6038-4C9D-A30D-1F7335410F1A}"/>
            </c:ext>
          </c:extLst>
        </c:ser>
        <c:ser>
          <c:idx val="2"/>
          <c:order val="2"/>
          <c:tx>
            <c:strRef>
              <c:f>'2 INGRESOS mensuales'!$A$37</c:f>
              <c:strCache>
                <c:ptCount val="1"/>
                <c:pt idx="0">
                  <c:v>Instagram</c:v>
                </c:pt>
              </c:strCache>
            </c:strRef>
          </c:tx>
          <c:spPr>
            <a:ln w="28575" cap="rnd">
              <a:solidFill>
                <a:schemeClr val="accent3"/>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mensuales'!$B$37:$M$37</c:f>
              <c:numCache>
                <c:formatCode>General</c:formatCode>
                <c:ptCount val="12"/>
                <c:pt idx="0">
                  <c:v>605</c:v>
                </c:pt>
                <c:pt idx="1">
                  <c:v>800</c:v>
                </c:pt>
                <c:pt idx="2">
                  <c:v>935</c:v>
                </c:pt>
                <c:pt idx="3">
                  <c:v>796</c:v>
                </c:pt>
                <c:pt idx="4">
                  <c:v>3311</c:v>
                </c:pt>
                <c:pt idx="5">
                  <c:v>2221</c:v>
                </c:pt>
              </c:numCache>
            </c:numRef>
          </c:val>
          <c:smooth val="0"/>
          <c:extLst>
            <c:ext xmlns:c16="http://schemas.microsoft.com/office/drawing/2014/chart" uri="{C3380CC4-5D6E-409C-BE32-E72D297353CC}">
              <c16:uniqueId val="{00000002-6038-4C9D-A30D-1F7335410F1A}"/>
            </c:ext>
          </c:extLst>
        </c:ser>
        <c:ser>
          <c:idx val="3"/>
          <c:order val="3"/>
          <c:tx>
            <c:strRef>
              <c:f>'2 INGRESOS mensuales'!$A$38</c:f>
              <c:strCache>
                <c:ptCount val="1"/>
                <c:pt idx="0">
                  <c:v>Bodas.net</c:v>
                </c:pt>
              </c:strCache>
            </c:strRef>
          </c:tx>
          <c:spPr>
            <a:ln w="28575" cap="rnd">
              <a:solidFill>
                <a:schemeClr val="accent4"/>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mensuales'!$B$38:$M$38</c:f>
              <c:numCache>
                <c:formatCode>General</c:formatCode>
                <c:ptCount val="12"/>
                <c:pt idx="0">
                  <c:v>298</c:v>
                </c:pt>
                <c:pt idx="1">
                  <c:v>634</c:v>
                </c:pt>
                <c:pt idx="2">
                  <c:v>0</c:v>
                </c:pt>
                <c:pt idx="3">
                  <c:v>0</c:v>
                </c:pt>
                <c:pt idx="4">
                  <c:v>100</c:v>
                </c:pt>
                <c:pt idx="5">
                  <c:v>0</c:v>
                </c:pt>
              </c:numCache>
            </c:numRef>
          </c:val>
          <c:smooth val="0"/>
          <c:extLst>
            <c:ext xmlns:c16="http://schemas.microsoft.com/office/drawing/2014/chart" uri="{C3380CC4-5D6E-409C-BE32-E72D297353CC}">
              <c16:uniqueId val="{00000003-6038-4C9D-A30D-1F7335410F1A}"/>
            </c:ext>
          </c:extLst>
        </c:ser>
        <c:ser>
          <c:idx val="4"/>
          <c:order val="4"/>
          <c:tx>
            <c:strRef>
              <c:f>'2 INGRESOS mensuales'!$A$39</c:f>
              <c:strCache>
                <c:ptCount val="1"/>
                <c:pt idx="0">
                  <c:v>Wedding planners, proveïdors</c:v>
                </c:pt>
              </c:strCache>
            </c:strRef>
          </c:tx>
          <c:spPr>
            <a:ln w="28575" cap="rnd">
              <a:solidFill>
                <a:schemeClr val="accent5"/>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mensuales'!$B$39:$M$39</c:f>
              <c:numCache>
                <c:formatCode>General</c:formatCode>
                <c:ptCount val="12"/>
                <c:pt idx="0">
                  <c:v>0</c:v>
                </c:pt>
                <c:pt idx="1">
                  <c:v>100</c:v>
                </c:pt>
                <c:pt idx="2">
                  <c:v>100</c:v>
                </c:pt>
                <c:pt idx="3">
                  <c:v>516</c:v>
                </c:pt>
                <c:pt idx="4">
                  <c:v>414</c:v>
                </c:pt>
                <c:pt idx="5">
                  <c:v>50</c:v>
                </c:pt>
              </c:numCache>
            </c:numRef>
          </c:val>
          <c:smooth val="0"/>
          <c:extLst>
            <c:ext xmlns:c16="http://schemas.microsoft.com/office/drawing/2014/chart" uri="{C3380CC4-5D6E-409C-BE32-E72D297353CC}">
              <c16:uniqueId val="{00000004-6038-4C9D-A30D-1F7335410F1A}"/>
            </c:ext>
          </c:extLst>
        </c:ser>
        <c:ser>
          <c:idx val="5"/>
          <c:order val="5"/>
          <c:tx>
            <c:strRef>
              <c:f>'2 INGRESOS mensuales'!$A$41</c:f>
              <c:strCache>
                <c:ptCount val="1"/>
                <c:pt idx="0">
                  <c:v>Conocidos </c:v>
                </c:pt>
              </c:strCache>
            </c:strRef>
          </c:tx>
          <c:spPr>
            <a:ln w="28575" cap="rnd">
              <a:solidFill>
                <a:schemeClr val="accent6"/>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mensuales'!$B$41:$M$41</c:f>
              <c:numCache>
                <c:formatCode>General</c:formatCode>
                <c:ptCount val="12"/>
                <c:pt idx="0">
                  <c:v>0</c:v>
                </c:pt>
                <c:pt idx="1">
                  <c:v>42</c:v>
                </c:pt>
                <c:pt idx="2">
                  <c:v>0</c:v>
                </c:pt>
                <c:pt idx="3">
                  <c:v>0</c:v>
                </c:pt>
                <c:pt idx="4">
                  <c:v>0</c:v>
                </c:pt>
                <c:pt idx="5" formatCode="_(&quot;€&quot;* #,##0.00_);_(&quot;€&quot;* \(#,##0.00\);_(&quot;€&quot;* &quot;-&quot;??_);_(@_)">
                  <c:v>0</c:v>
                </c:pt>
              </c:numCache>
            </c:numRef>
          </c:val>
          <c:smooth val="0"/>
          <c:extLst>
            <c:ext xmlns:c16="http://schemas.microsoft.com/office/drawing/2014/chart" uri="{C3380CC4-5D6E-409C-BE32-E72D297353CC}">
              <c16:uniqueId val="{00000005-6038-4C9D-A30D-1F7335410F1A}"/>
            </c:ext>
          </c:extLst>
        </c:ser>
        <c:ser>
          <c:idx val="6"/>
          <c:order val="6"/>
          <c:tx>
            <c:strRef>
              <c:f>'2 INGRESOS mensuales'!$A$42</c:f>
              <c:strCache>
                <c:ptCount val="1"/>
                <c:pt idx="0">
                  <c:v>Escaparate</c:v>
                </c:pt>
              </c:strCache>
            </c:strRef>
          </c:tx>
          <c:spPr>
            <a:ln w="28575" cap="rnd">
              <a:solidFill>
                <a:schemeClr val="accent1">
                  <a:lumMod val="60000"/>
                </a:schemeClr>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mensuales'!$B$42:$M$42</c:f>
              <c:numCache>
                <c:formatCode>General</c:formatCode>
                <c:ptCount val="12"/>
                <c:pt idx="0">
                  <c:v>0</c:v>
                </c:pt>
                <c:pt idx="1">
                  <c:v>0</c:v>
                </c:pt>
                <c:pt idx="2">
                  <c:v>0</c:v>
                </c:pt>
                <c:pt idx="3">
                  <c:v>0</c:v>
                </c:pt>
                <c:pt idx="4">
                  <c:v>0</c:v>
                </c:pt>
                <c:pt idx="5">
                  <c:v>0</c:v>
                </c:pt>
              </c:numCache>
            </c:numRef>
          </c:val>
          <c:smooth val="0"/>
          <c:extLst>
            <c:ext xmlns:c16="http://schemas.microsoft.com/office/drawing/2014/chart" uri="{C3380CC4-5D6E-409C-BE32-E72D297353CC}">
              <c16:uniqueId val="{00000006-6038-4C9D-A30D-1F7335410F1A}"/>
            </c:ext>
          </c:extLst>
        </c:ser>
        <c:ser>
          <c:idx val="7"/>
          <c:order val="7"/>
          <c:tx>
            <c:strRef>
              <c:f>'2 INGRESOS mensuales'!$A$43</c:f>
              <c:strCache>
                <c:ptCount val="1"/>
                <c:pt idx="0">
                  <c:v>Cliente reiterado</c:v>
                </c:pt>
              </c:strCache>
            </c:strRef>
          </c:tx>
          <c:spPr>
            <a:ln w="28575" cap="rnd">
              <a:solidFill>
                <a:schemeClr val="accent2">
                  <a:lumMod val="60000"/>
                </a:schemeClr>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mensuales'!$B$43:$M$43</c:f>
              <c:numCache>
                <c:formatCode>General</c:formatCode>
                <c:ptCount val="12"/>
                <c:pt idx="0">
                  <c:v>92</c:v>
                </c:pt>
                <c:pt idx="1">
                  <c:v>149</c:v>
                </c:pt>
                <c:pt idx="2">
                  <c:v>0</c:v>
                </c:pt>
                <c:pt idx="3">
                  <c:v>245</c:v>
                </c:pt>
                <c:pt idx="4">
                  <c:v>280</c:v>
                </c:pt>
                <c:pt idx="5">
                  <c:v>100</c:v>
                </c:pt>
              </c:numCache>
            </c:numRef>
          </c:val>
          <c:smooth val="0"/>
          <c:extLst>
            <c:ext xmlns:c16="http://schemas.microsoft.com/office/drawing/2014/chart" uri="{C3380CC4-5D6E-409C-BE32-E72D297353CC}">
              <c16:uniqueId val="{00000007-6038-4C9D-A30D-1F7335410F1A}"/>
            </c:ext>
          </c:extLst>
        </c:ser>
        <c:ser>
          <c:idx val="8"/>
          <c:order val="8"/>
          <c:tx>
            <c:strRef>
              <c:f>'2 INGRESOS mensuales'!$A$44</c:f>
              <c:strCache>
                <c:ptCount val="1"/>
                <c:pt idx="0">
                  <c:v>Tik-Tok</c:v>
                </c:pt>
              </c:strCache>
            </c:strRef>
          </c:tx>
          <c:spPr>
            <a:ln w="28575" cap="rnd">
              <a:solidFill>
                <a:schemeClr val="accent3">
                  <a:lumMod val="60000"/>
                </a:schemeClr>
              </a:solidFill>
              <a:round/>
            </a:ln>
            <a:effectLst/>
          </c:spPr>
          <c:marker>
            <c:symbol val="none"/>
          </c:marker>
          <c:cat>
            <c:strRef>
              <c:f>'2 INGRESOS mensuales'!$B$34:$M$34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mensuales'!$B$44:$M$44</c:f>
              <c:numCache>
                <c:formatCode>General</c:formatCode>
                <c:ptCount val="12"/>
                <c:pt idx="0">
                  <c:v>1197</c:v>
                </c:pt>
                <c:pt idx="1">
                  <c:v>693</c:v>
                </c:pt>
                <c:pt idx="2">
                  <c:v>2165</c:v>
                </c:pt>
                <c:pt idx="3">
                  <c:v>2738</c:v>
                </c:pt>
                <c:pt idx="4">
                  <c:v>2500</c:v>
                </c:pt>
                <c:pt idx="5">
                  <c:v>10313</c:v>
                </c:pt>
              </c:numCache>
            </c:numRef>
          </c:val>
          <c:smooth val="0"/>
          <c:extLst>
            <c:ext xmlns:c16="http://schemas.microsoft.com/office/drawing/2014/chart" uri="{C3380CC4-5D6E-409C-BE32-E72D297353CC}">
              <c16:uniqueId val="{00000008-6038-4C9D-A30D-1F7335410F1A}"/>
            </c:ext>
          </c:extLst>
        </c:ser>
        <c:dLbls>
          <c:showLegendKey val="0"/>
          <c:showVal val="0"/>
          <c:showCatName val="0"/>
          <c:showSerName val="0"/>
          <c:showPercent val="0"/>
          <c:showBubbleSize val="0"/>
        </c:dLbls>
        <c:smooth val="0"/>
        <c:axId val="2041747551"/>
        <c:axId val="617016047"/>
      </c:lineChart>
      <c:catAx>
        <c:axId val="204174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17016047"/>
        <c:crosses val="autoZero"/>
        <c:auto val="1"/>
        <c:lblAlgn val="ctr"/>
        <c:lblOffset val="100"/>
        <c:noMultiLvlLbl val="0"/>
      </c:catAx>
      <c:valAx>
        <c:axId val="6170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74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Evolución cierre de ventas novias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9442034619460075E-2"/>
          <c:y val="0.17605144505395173"/>
          <c:w val="0.89678586579365038"/>
          <c:h val="0.75121489224492655"/>
        </c:manualLayout>
      </c:layout>
      <c:lineChart>
        <c:grouping val="standard"/>
        <c:varyColors val="0"/>
        <c:ser>
          <c:idx val="1"/>
          <c:order val="1"/>
          <c:spPr>
            <a:ln w="28575" cap="rnd">
              <a:solidFill>
                <a:schemeClr val="accent2"/>
              </a:solidFill>
              <a:round/>
            </a:ln>
            <a:effectLst/>
          </c:spPr>
          <c:marker>
            <c:symbol val="none"/>
          </c:marker>
          <c:val>
            <c:numRef>
              <c:f>'2 INGRESOS mensuales'!#REF!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 INGRESOS mensuales'!#REF!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'2 INGRESOS mensuales'!#REF!</c15:sqref>
                        </c15:formulaRef>
                      </c:ext>
                    </c:extLst>
                  </c:multiLvlStrRef>
                </c15:cat>
              </c15:filteredCategoryTitle>
            </c:ext>
            <c:ext xmlns:c16="http://schemas.microsoft.com/office/drawing/2014/chart" uri="{C3380CC4-5D6E-409C-BE32-E72D297353CC}">
              <c16:uniqueId val="{00000001-2048-487A-B22C-F5C94AF91004}"/>
            </c:ext>
          </c:extLst>
        </c:ser>
        <c:ser>
          <c:idx val="2"/>
          <c:order val="2"/>
          <c:spPr>
            <a:ln w="28575" cap="rnd">
              <a:solidFill>
                <a:schemeClr val="accent3"/>
              </a:solidFill>
              <a:round/>
            </a:ln>
            <a:effectLst/>
          </c:spPr>
          <c:marker>
            <c:symbol val="none"/>
          </c:marker>
          <c:val>
            <c:numRef>
              <c:f>'2 INGRESOS mensuales'!#REF!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 INGRESOS mensuales'!#REF!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'2 INGRESOS mensuales'!#REF!</c15:sqref>
                        </c15:formulaRef>
                      </c:ext>
                    </c:extLst>
                  </c:multiLvlStrRef>
                </c15:cat>
              </c15:filteredCategoryTitle>
            </c:ext>
            <c:ext xmlns:c16="http://schemas.microsoft.com/office/drawing/2014/chart" uri="{C3380CC4-5D6E-409C-BE32-E72D297353CC}">
              <c16:uniqueId val="{00000002-2048-487A-B22C-F5C94AF91004}"/>
            </c:ext>
          </c:extLst>
        </c:ser>
        <c:ser>
          <c:idx val="3"/>
          <c:order val="3"/>
          <c:spPr>
            <a:ln w="28575" cap="rnd">
              <a:solidFill>
                <a:schemeClr val="accent4"/>
              </a:solidFill>
              <a:round/>
            </a:ln>
            <a:effectLst/>
          </c:spPr>
          <c:marker>
            <c:symbol val="none"/>
          </c:marker>
          <c:val>
            <c:numRef>
              <c:f>'2 INGRESOS mensuales'!#REF!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 INGRESOS mensuales'!#REF!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'2 INGRESOS mensuales'!#REF!</c15:sqref>
                        </c15:formulaRef>
                      </c:ext>
                    </c:extLst>
                  </c:multiLvlStrRef>
                </c15:cat>
              </c15:filteredCategoryTitle>
            </c:ext>
            <c:ext xmlns:c16="http://schemas.microsoft.com/office/drawing/2014/chart" uri="{C3380CC4-5D6E-409C-BE32-E72D297353CC}">
              <c16:uniqueId val="{00000009-2048-487A-B22C-F5C94AF91004}"/>
            </c:ext>
          </c:extLst>
        </c:ser>
        <c:ser>
          <c:idx val="4"/>
          <c:order val="4"/>
          <c:spPr>
            <a:ln w="28575" cap="rnd">
              <a:solidFill>
                <a:schemeClr val="accent5"/>
              </a:solidFill>
              <a:round/>
            </a:ln>
            <a:effectLst/>
          </c:spPr>
          <c:marker>
            <c:symbol val="none"/>
          </c:marker>
          <c:val>
            <c:numRef>
              <c:f>'2 INGRESOS mensuales'!#REF!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'2 INGRESOS mensuales'!#REF!</c15:sqref>
                        </c15:formulaRef>
                      </c:ext>
                    </c:extLst>
                    <c:strCache>
                      <c:ptCount val="1"/>
                      <c:pt idx="0">
                        <c:v>#REF!</c:v>
                      </c:pt>
                    </c:strCache>
                  </c:strRef>
                </c15:tx>
              </c15:filteredSeriesTitle>
            </c:ext>
            <c:ext xmlns:c15="http://schemas.microsoft.com/office/drawing/2012/chart" uri="{02D57815-91ED-43cb-92C2-25804820EDAC}">
              <c15:filteredCategoryTitle>
                <c15:cat>
                  <c:multiLvlStrRef>
                    <c:extLst>
                      <c:ext uri="{02D57815-91ED-43cb-92C2-25804820EDAC}">
                        <c15:formulaRef>
                          <c15:sqref>'2 INGRESOS mensuales'!#REF!</c15:sqref>
                        </c15:formulaRef>
                      </c:ext>
                    </c:extLst>
                  </c:multiLvlStrRef>
                </c15:cat>
              </c15:filteredCategoryTitle>
            </c:ext>
            <c:ext xmlns:c16="http://schemas.microsoft.com/office/drawing/2014/chart" uri="{C3380CC4-5D6E-409C-BE32-E72D297353CC}">
              <c16:uniqueId val="{0000000A-2048-487A-B22C-F5C94AF91004}"/>
            </c:ext>
          </c:extLst>
        </c:ser>
        <c:dLbls>
          <c:showLegendKey val="0"/>
          <c:showVal val="0"/>
          <c:showCatName val="0"/>
          <c:showSerName val="0"/>
          <c:showPercent val="0"/>
          <c:showBubbleSize val="0"/>
        </c:dLbls>
        <c:smooth val="0"/>
        <c:axId val="2041747551"/>
        <c:axId val="617016047"/>
        <c:extLst>
          <c:ext xmlns:c15="http://schemas.microsoft.com/office/drawing/2012/chart" uri="{02D57815-91ED-43cb-92C2-25804820EDAC}">
            <c15:filteredLineSeries>
              <c15:ser>
                <c:idx val="0"/>
                <c:order val="0"/>
                <c:spPr>
                  <a:ln w="28575" cap="rnd">
                    <a:solidFill>
                      <a:schemeClr val="accent1"/>
                    </a:solidFill>
                    <a:round/>
                  </a:ln>
                  <a:effectLst/>
                </c:spPr>
                <c:marker>
                  <c:symbol val="none"/>
                </c:marker>
                <c:val>
                  <c:numRef>
                    <c:extLst>
                      <c:ext uri="{02D57815-91ED-43cb-92C2-25804820EDAC}">
                        <c15:formulaRef>
                          <c15:sqref>'2 INGRESOS mensuales'!#REF!</c15:sqref>
                        </c15:formulaRef>
                      </c:ext>
                    </c:extLst>
                    <c:numCache>
                      <c:formatCode>General</c:formatCode>
                      <c:ptCount val="1"/>
                      <c:pt idx="0">
                        <c:v>1</c:v>
                      </c:pt>
                    </c:numCache>
                  </c:numRef>
                </c:val>
                <c:smooth val="0"/>
                <c:extLst>
                  <c:ext uri="{02D57815-91ED-43cb-92C2-25804820EDAC}">
                    <c15:filteredSeriesTitle>
                      <c15:tx>
                        <c:strRef>
                          <c:extLst>
                            <c:ext uri="{02D57815-91ED-43cb-92C2-25804820EDAC}">
                              <c15:formulaRef>
                                <c15:sqref>'2 INGRESOS mensuales'!#REF!</c15:sqref>
                              </c15:formulaRef>
                            </c:ext>
                          </c:extLst>
                          <c:strCache>
                            <c:ptCount val="1"/>
                            <c:pt idx="0">
                              <c:v>#REF!</c:v>
                            </c:pt>
                          </c:strCache>
                        </c:strRef>
                      </c15:tx>
                    </c15:filteredSeriesTitle>
                  </c:ext>
                  <c:ext uri="{02D57815-91ED-43cb-92C2-25804820EDAC}">
                    <c15:filteredCategoryTitle>
                      <c15:cat>
                        <c:multiLvlStrRef>
                          <c:extLst>
                            <c:ext uri="{02D57815-91ED-43cb-92C2-25804820EDAC}">
                              <c15:formulaRef>
                                <c15:sqref>'2 INGRESOS mensuales'!#REF!</c15:sqref>
                              </c15:formulaRef>
                            </c:ext>
                          </c:extLst>
                        </c:multiLvlStrRef>
                      </c15:cat>
                    </c15:filteredCategoryTitle>
                  </c:ext>
                  <c:ext xmlns:c16="http://schemas.microsoft.com/office/drawing/2014/chart" uri="{C3380CC4-5D6E-409C-BE32-E72D297353CC}">
                    <c16:uniqueId val="{00000000-2048-487A-B22C-F5C94AF91004}"/>
                  </c:ext>
                </c:extLst>
              </c15:ser>
            </c15:filteredLineSeries>
          </c:ext>
        </c:extLst>
      </c:lineChart>
      <c:catAx>
        <c:axId val="2041747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617016047"/>
        <c:crosses val="autoZero"/>
        <c:auto val="1"/>
        <c:lblAlgn val="ctr"/>
        <c:lblOffset val="100"/>
        <c:noMultiLvlLbl val="0"/>
      </c:catAx>
      <c:valAx>
        <c:axId val="617016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04174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VENTAS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5351377952755907"/>
          <c:y val="0.19027777777777777"/>
          <c:w val="0.84648622047244093"/>
          <c:h val="0.41491615631379408"/>
        </c:manualLayout>
      </c:layout>
      <c:barChart>
        <c:barDir val="col"/>
        <c:grouping val="clustered"/>
        <c:varyColors val="0"/>
        <c:ser>
          <c:idx val="21"/>
          <c:order val="21"/>
          <c:tx>
            <c:strRef>
              <c:f>'2 INGRESOS mensuales'!$A$26</c:f>
              <c:strCache>
                <c:ptCount val="1"/>
                <c:pt idx="0">
                  <c:v>TOTAL</c:v>
                </c:pt>
              </c:strCache>
            </c:strRef>
          </c:tx>
          <c:spPr>
            <a:solidFill>
              <a:schemeClr val="accent4">
                <a:lumMod val="80000"/>
              </a:schemeClr>
            </a:solidFill>
            <a:ln>
              <a:noFill/>
            </a:ln>
            <a:effectLst/>
          </c:spPr>
          <c:invertIfNegative val="0"/>
          <c:cat>
            <c:strRef>
              <c:f>'2 INGRESOS mensuales'!$B$4:$M$4</c:f>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f>'2 INGRESOS mensuales'!$B$26:$M$26</c:f>
              <c:numCache>
                <c:formatCode>#,##0\ [$€-1]</c:formatCode>
                <c:ptCount val="12"/>
                <c:pt idx="0">
                  <c:v>3776</c:v>
                </c:pt>
                <c:pt idx="1">
                  <c:v>3492</c:v>
                </c:pt>
                <c:pt idx="2">
                  <c:v>4362</c:v>
                </c:pt>
                <c:pt idx="3">
                  <c:v>11460</c:v>
                </c:pt>
                <c:pt idx="4">
                  <c:v>7513</c:v>
                </c:pt>
                <c:pt idx="5">
                  <c:v>13776</c:v>
                </c:pt>
                <c:pt idx="6">
                  <c:v>0</c:v>
                </c:pt>
                <c:pt idx="7">
                  <c:v>0</c:v>
                </c:pt>
                <c:pt idx="8">
                  <c:v>0</c:v>
                </c:pt>
                <c:pt idx="9">
                  <c:v>0</c:v>
                </c:pt>
                <c:pt idx="10">
                  <c:v>0</c:v>
                </c:pt>
                <c:pt idx="11">
                  <c:v>0</c:v>
                </c:pt>
              </c:numCache>
            </c:numRef>
          </c:val>
          <c:extLst>
            <c:ext xmlns:c16="http://schemas.microsoft.com/office/drawing/2014/chart" uri="{C3380CC4-5D6E-409C-BE32-E72D297353CC}">
              <c16:uniqueId val="{00000015-8FFD-4545-86CD-9BE6B562921B}"/>
            </c:ext>
          </c:extLst>
        </c:ser>
        <c:dLbls>
          <c:showLegendKey val="0"/>
          <c:showVal val="0"/>
          <c:showCatName val="0"/>
          <c:showSerName val="0"/>
          <c:showPercent val="0"/>
          <c:showBubbleSize val="0"/>
        </c:dLbls>
        <c:gapWidth val="219"/>
        <c:overlap val="-27"/>
        <c:axId val="1288175664"/>
        <c:axId val="1288172784"/>
        <c:extLst>
          <c:ext xmlns:c15="http://schemas.microsoft.com/office/drawing/2012/chart" uri="{02D57815-91ED-43cb-92C2-25804820EDAC}">
            <c15:filteredBarSeries>
              <c15:ser>
                <c:idx val="0"/>
                <c:order val="0"/>
                <c:tx>
                  <c:strRef>
                    <c:extLst>
                      <c:ext uri="{02D57815-91ED-43cb-92C2-25804820EDAC}">
                        <c15:formulaRef>
                          <c15:sqref>'2 INGRESOS mensuales'!$A$5</c15:sqref>
                        </c15:formulaRef>
                      </c:ext>
                    </c:extLst>
                    <c:strCache>
                      <c:ptCount val="1"/>
                      <c:pt idx="0">
                        <c:v>Novias</c:v>
                      </c:pt>
                    </c:strCache>
                  </c:strRef>
                </c:tx>
                <c:spPr>
                  <a:solidFill>
                    <a:schemeClr val="accent1"/>
                  </a:solidFill>
                  <a:ln>
                    <a:noFill/>
                  </a:ln>
                  <a:effectLst/>
                </c:spPr>
                <c:invertIfNegative val="0"/>
                <c:cat>
                  <c:strRef>
                    <c:extLst>
                      <c:ex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c:ext uri="{02D57815-91ED-43cb-92C2-25804820EDAC}">
                        <c15:formulaRef>
                          <c15:sqref>'2 INGRESOS mensuales'!$B$5:$M$5</c15:sqref>
                        </c15:formulaRef>
                      </c:ext>
                    </c:extLst>
                    <c:numCache>
                      <c:formatCode>#,##0\ [$€-1]</c:formatCode>
                      <c:ptCount val="12"/>
                      <c:pt idx="0">
                        <c:v>2426</c:v>
                      </c:pt>
                      <c:pt idx="1">
                        <c:v>2674</c:v>
                      </c:pt>
                      <c:pt idx="2">
                        <c:v>2923</c:v>
                      </c:pt>
                      <c:pt idx="3">
                        <c:v>4329</c:v>
                      </c:pt>
                      <c:pt idx="4">
                        <c:v>6210</c:v>
                      </c:pt>
                      <c:pt idx="5">
                        <c:v>7224</c:v>
                      </c:pt>
                    </c:numCache>
                  </c:numRef>
                </c:val>
                <c:extLst>
                  <c:ext xmlns:c16="http://schemas.microsoft.com/office/drawing/2014/chart" uri="{C3380CC4-5D6E-409C-BE32-E72D297353CC}">
                    <c16:uniqueId val="{00000000-8FFD-4545-86CD-9BE6B562921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'2 INGRESOS mensuales'!$A$6</c15:sqref>
                        </c15:formulaRef>
                      </c:ext>
                    </c:extLst>
                    <c:strCache>
                      <c:ptCount val="1"/>
                      <c:pt idx="0">
                        <c:v>Complementos</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mensuales'!$B$6:$M$6</c15:sqref>
                        </c15:formulaRef>
                      </c:ext>
                    </c:extLst>
                    <c:numCache>
                      <c:formatCode>#,##0\ [$€-1]</c:formatCode>
                      <c:ptCount val="12"/>
                      <c:pt idx="0">
                        <c:v>69</c:v>
                      </c:pt>
                      <c:pt idx="1">
                        <c:v>56</c:v>
                      </c:pt>
                      <c:pt idx="2">
                        <c:v>267</c:v>
                      </c:pt>
                      <c:pt idx="3">
                        <c:v>162</c:v>
                      </c:pt>
                      <c:pt idx="4">
                        <c:v>40</c:v>
                      </c:pt>
                      <c:pt idx="5">
                        <c:v>297</c:v>
                      </c:pt>
                    </c:numCache>
                  </c:numRef>
                </c:val>
                <c:extLst xmlns:c15="http://schemas.microsoft.com/office/drawing/2012/chart">
                  <c:ext xmlns:c16="http://schemas.microsoft.com/office/drawing/2014/chart" uri="{C3380CC4-5D6E-409C-BE32-E72D297353CC}">
                    <c16:uniqueId val="{00000001-8FFD-4545-86CD-9BE6B562921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'2 INGRESOS mensuales'!$A$7</c15:sqref>
                        </c15:formulaRef>
                      </c:ext>
                    </c:extLst>
                    <c:strCache>
                      <c:ptCount val="1"/>
                      <c:pt idx="0">
                        <c:v>Productos web, cuadros , cupulas  y varios</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mensuales'!$B$7:$M$7</c15:sqref>
                        </c15:formulaRef>
                      </c:ext>
                    </c:extLst>
                    <c:numCache>
                      <c:formatCode>#,##0\ [$€-1]</c:formatCode>
                      <c:ptCount val="12"/>
                      <c:pt idx="0">
                        <c:v>230</c:v>
                      </c:pt>
                      <c:pt idx="1">
                        <c:v>42</c:v>
                      </c:pt>
                      <c:pt idx="2">
                        <c:v>266</c:v>
                      </c:pt>
                      <c:pt idx="3">
                        <c:v>514</c:v>
                      </c:pt>
                      <c:pt idx="4">
                        <c:v>63</c:v>
                      </c:pt>
                      <c:pt idx="5">
                        <c:v>0</c:v>
                      </c:pt>
                    </c:numCache>
                  </c:numRef>
                </c:val>
                <c:extLst xmlns:c15="http://schemas.microsoft.com/office/drawing/2012/chart">
                  <c:ext xmlns:c16="http://schemas.microsoft.com/office/drawing/2014/chart" uri="{C3380CC4-5D6E-409C-BE32-E72D297353CC}">
                    <c16:uniqueId val="{00000002-8FFD-4545-86CD-9BE6B56292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'2 INGRESOS mensuales'!$A$8</c15:sqref>
                        </c15:formulaRef>
                      </c:ext>
                    </c:extLst>
                    <c:strCache>
                      <c:ptCount val="1"/>
                      <c:pt idx="0">
                        <c:v>Talleres</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mensuales'!$B$8:$M$8</c15:sqref>
                        </c15:formulaRef>
                      </c:ext>
                    </c:extLst>
                    <c:numCache>
                      <c:formatCode>#,##0\ [$€-1]</c:formatCode>
                      <c:ptCount val="12"/>
                      <c:pt idx="0">
                        <c:v>288</c:v>
                      </c:pt>
                      <c:pt idx="1">
                        <c:v>0</c:v>
                      </c:pt>
                      <c:pt idx="2">
                        <c:v>285</c:v>
                      </c:pt>
                      <c:pt idx="3">
                        <c:v>0</c:v>
                      </c:pt>
                      <c:pt idx="4">
                        <c:v>280</c:v>
                      </c:pt>
                      <c:pt idx="5">
                        <c:v>0</c:v>
                      </c:pt>
                    </c:numCache>
                  </c:numRef>
                </c:val>
                <c:extLst xmlns:c15="http://schemas.microsoft.com/office/drawing/2012/chart">
                  <c:ext xmlns:c16="http://schemas.microsoft.com/office/drawing/2014/chart" uri="{C3380CC4-5D6E-409C-BE32-E72D297353CC}">
                    <c16:uniqueId val="{00000003-8FFD-4545-86CD-9BE6B562921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'2 INGRESOS mensuales'!$A$9</c15:sqref>
                        </c15:formulaRef>
                      </c:ext>
                    </c:extLst>
                    <c:strCache>
                      <c:ptCount val="1"/>
                      <c:pt idx="0">
                        <c:v>Sant Jordi</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mensuales'!$B$9:$M$9</c15:sqref>
                        </c15:formulaRef>
                      </c:ext>
                    </c:extLst>
                    <c:numCache>
                      <c:formatCode>#,##0\ [$€-1]</c:formatCode>
                      <c:ptCount val="12"/>
                      <c:pt idx="0">
                        <c:v>0</c:v>
                      </c:pt>
                      <c:pt idx="1">
                        <c:v>0</c:v>
                      </c:pt>
                      <c:pt idx="2">
                        <c:v>0</c:v>
                      </c:pt>
                      <c:pt idx="3" formatCode="_-* #,##0\ &quot;€&quot;_-;\-* #,##0\ &quot;€&quot;_-;_-* &quot;-&quot;??\ &quot;€&quot;_-;_-@_-">
                        <c:v>5855</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4-8FFD-4545-86CD-9BE6B562921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'2 INGRESOS mensuales'!$A$10</c15:sqref>
                        </c15:formulaRef>
                      </c:ext>
                    </c:extLst>
                    <c:strCache>
                      <c:ptCount val="1"/>
                      <c:pt idx="0">
                        <c:v>Premsades</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mensuales'!$B$10:$M$10</c15:sqref>
                        </c15:formulaRef>
                      </c:ext>
                    </c:extLst>
                    <c:numCache>
                      <c:formatCode>#,##0\ [$€-1]</c:formatCode>
                      <c:ptCount val="12"/>
                      <c:pt idx="0">
                        <c:v>743</c:v>
                      </c:pt>
                      <c:pt idx="1">
                        <c:v>571</c:v>
                      </c:pt>
                      <c:pt idx="2">
                        <c:v>621</c:v>
                      </c:pt>
                      <c:pt idx="3">
                        <c:v>600</c:v>
                      </c:pt>
                      <c:pt idx="4">
                        <c:v>920</c:v>
                      </c:pt>
                      <c:pt idx="5">
                        <c:v>659</c:v>
                      </c:pt>
                    </c:numCache>
                  </c:numRef>
                </c:val>
                <c:extLst xmlns:c15="http://schemas.microsoft.com/office/drawing/2012/chart">
                  <c:ext xmlns:c16="http://schemas.microsoft.com/office/drawing/2014/chart" uri="{C3380CC4-5D6E-409C-BE32-E72D297353CC}">
                    <c16:uniqueId val="{00000005-8FFD-4545-86CD-9BE6B562921B}"/>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'2 INGRESOS mensuales'!$A$11</c15:sqref>
                        </c15:formulaRef>
                      </c:ext>
                    </c:extLst>
                    <c:strCache>
                      <c:ptCount val="1"/>
                      <c:pt idx="0">
                        <c:v>Decoracions</c:v>
                      </c:pt>
                    </c:strCache>
                  </c:strRef>
                </c:tx>
                <c:spPr>
                  <a:solidFill>
                    <a:schemeClr val="accent1">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mensuales'!$B$11:$M$11</c15:sqref>
                        </c15:formulaRef>
                      </c:ext>
                    </c:extLst>
                    <c:numCache>
                      <c:formatCode>#,##0\ [$€-1]</c:formatCode>
                      <c:ptCount val="12"/>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6-8FFD-4545-86CD-9BE6B562921B}"/>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'2 INGRESOS mensuales'!$A$12</c15:sqref>
                        </c15:formulaRef>
                      </c:ext>
                    </c:extLst>
                    <c:strCache>
                      <c:ptCount val="1"/>
                      <c:pt idx="0">
                        <c:v>B2B</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mensuales'!$B$12:$M$12</c15:sqref>
                        </c15:formulaRef>
                      </c:ext>
                    </c:extLst>
                    <c:numCache>
                      <c:formatCode>#,##0\ [$€-1]</c:formatCode>
                      <c:ptCount val="12"/>
                      <c:pt idx="0">
                        <c:v>20</c:v>
                      </c:pt>
                      <c:pt idx="1">
                        <c:v>149</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7-8FFD-4545-86CD-9BE6B562921B}"/>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'2 INGRESOS mensuales'!$A$13</c15:sqref>
                        </c15:formulaRef>
                      </c:ext>
                    </c:extLst>
                    <c:strCache>
                      <c:ptCount val="1"/>
                      <c:pt idx="0">
                        <c:v>Formaciones</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mensuales'!$B$13:$M$13</c15:sqref>
                        </c15:formulaRef>
                      </c:ext>
                    </c:extLst>
                    <c:numCache>
                      <c:formatCode>#,##0\ [$€-1]</c:formatCode>
                      <c:ptCount val="12"/>
                      <c:pt idx="0">
                        <c:v>0</c:v>
                      </c:pt>
                      <c:pt idx="1">
                        <c:v>0</c:v>
                      </c:pt>
                      <c:pt idx="2">
                        <c:v>0</c:v>
                      </c:pt>
                      <c:pt idx="3">
                        <c:v>0</c:v>
                      </c:pt>
                      <c:pt idx="4">
                        <c:v>0</c:v>
                      </c:pt>
                      <c:pt idx="5">
                        <c:v>5596</c:v>
                      </c:pt>
                    </c:numCache>
                  </c:numRef>
                </c:val>
                <c:extLst xmlns:c15="http://schemas.microsoft.com/office/drawing/2012/chart">
                  <c:ext xmlns:c16="http://schemas.microsoft.com/office/drawing/2014/chart" uri="{C3380CC4-5D6E-409C-BE32-E72D297353CC}">
                    <c16:uniqueId val="{00000008-8FFD-4545-86CD-9BE6B562921B}"/>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'2 INGRESOS mensuales'!$A$14</c15:sqref>
                        </c15:formulaRef>
                      </c:ext>
                    </c:extLst>
                    <c:strCache>
                      <c:ptCount val="1"/>
                      <c:pt idx="0">
                        <c:v>Membresias</c:v>
                      </c:pt>
                    </c:strCache>
                  </c:strRef>
                </c:tx>
                <c:spPr>
                  <a:solidFill>
                    <a:schemeClr val="accent4">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mensuales'!$B$14:$M$14</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09-8FFD-4545-86CD-9BE6B562921B}"/>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'2 INGRESOS mensuales'!$A$15</c15:sqref>
                        </c15:formulaRef>
                      </c:ext>
                    </c:extLst>
                    <c:strCache>
                      <c:ptCount val="1"/>
                    </c:strCache>
                  </c:strRef>
                </c:tx>
                <c:spPr>
                  <a:solidFill>
                    <a:schemeClr val="accent5">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mensuales'!$B$15:$M$15</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0A-8FFD-4545-86CD-9BE6B562921B}"/>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'2 INGRESOS mensuales'!$A$16</c15:sqref>
                        </c15:formulaRef>
                      </c:ext>
                    </c:extLst>
                    <c:strCache>
                      <c:ptCount val="1"/>
                    </c:strCache>
                  </c:strRef>
                </c:tx>
                <c:spPr>
                  <a:solidFill>
                    <a:schemeClr val="accent6">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mensuales'!$B$16:$M$16</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0B-8FFD-4545-86CD-9BE6B562921B}"/>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'2 INGRESOS mensuales'!$A$17</c15:sqref>
                        </c15:formulaRef>
                      </c:ext>
                    </c:extLst>
                    <c:strCache>
                      <c:ptCount val="1"/>
                    </c:strCache>
                  </c:strRef>
                </c:tx>
                <c:spPr>
                  <a:solidFill>
                    <a:schemeClr val="accent1">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mensuales'!$B$17:$M$17</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0C-8FFD-4545-86CD-9BE6B562921B}"/>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'2 INGRESOS mensuales'!$A$18</c15:sqref>
                        </c15:formulaRef>
                      </c:ext>
                    </c:extLst>
                    <c:strCache>
                      <c:ptCount val="1"/>
                    </c:strCache>
                  </c:strRef>
                </c:tx>
                <c:spPr>
                  <a:solidFill>
                    <a:schemeClr val="accent2">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mensuales'!$B$18:$M$18</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0D-8FFD-4545-86CD-9BE6B562921B}"/>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'2 INGRESOS mensuales'!$A$19</c15:sqref>
                        </c15:formulaRef>
                      </c:ext>
                    </c:extLst>
                    <c:strCache>
                      <c:ptCount val="1"/>
                    </c:strCache>
                  </c:strRef>
                </c:tx>
                <c:spPr>
                  <a:solidFill>
                    <a:schemeClr val="accent3">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mensuales'!$B$19:$M$19</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0E-8FFD-4545-86CD-9BE6B562921B}"/>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'2 INGRESOS mensuales'!$A$20</c15:sqref>
                        </c15:formulaRef>
                      </c:ext>
                    </c:extLst>
                    <c:strCache>
                      <c:ptCount val="1"/>
                    </c:strCache>
                  </c:strRef>
                </c:tx>
                <c:spPr>
                  <a:solidFill>
                    <a:schemeClr val="accent4">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mensuales'!$B$20:$M$20</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0F-8FFD-4545-86CD-9BE6B562921B}"/>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'2 INGRESOS mensuales'!$A$21</c15:sqref>
                        </c15:formulaRef>
                      </c:ext>
                    </c:extLst>
                    <c:strCache>
                      <c:ptCount val="1"/>
                    </c:strCache>
                  </c:strRef>
                </c:tx>
                <c:spPr>
                  <a:solidFill>
                    <a:schemeClr val="accent5">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mensuales'!$B$21:$M$21</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10-8FFD-4545-86CD-9BE6B562921B}"/>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'2 INGRESOS mensuales'!$A$22</c15:sqref>
                        </c15:formulaRef>
                      </c:ext>
                    </c:extLst>
                    <c:strCache>
                      <c:ptCount val="1"/>
                    </c:strCache>
                  </c:strRef>
                </c:tx>
                <c:spPr>
                  <a:solidFill>
                    <a:schemeClr val="accent6">
                      <a:lumMod val="80000"/>
                      <a:lumOff val="2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mensuales'!$B$22:$M$22</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11-8FFD-4545-86CD-9BE6B562921B}"/>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'2 INGRESOS mensuales'!$A$23</c15:sqref>
                        </c15:formulaRef>
                      </c:ext>
                    </c:extLst>
                    <c:strCache>
                      <c:ptCount val="1"/>
                    </c:strCache>
                  </c:strRef>
                </c:tx>
                <c:spPr>
                  <a:solidFill>
                    <a:schemeClr val="accent1">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mensuales'!$B$23:$M$23</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12-8FFD-4545-86CD-9BE6B562921B}"/>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'2 INGRESOS mensuales'!$A$24</c15:sqref>
                        </c15:formulaRef>
                      </c:ext>
                    </c:extLst>
                    <c:strCache>
                      <c:ptCount val="1"/>
                    </c:strCache>
                  </c:strRef>
                </c:tx>
                <c:spPr>
                  <a:solidFill>
                    <a:schemeClr val="accent2">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mensuales'!$B$24:$M$24</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13-8FFD-4545-86CD-9BE6B562921B}"/>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'2 INGRESOS mensuales'!$A$25</c15:sqref>
                        </c15:formulaRef>
                      </c:ext>
                    </c:extLst>
                    <c:strCache>
                      <c:ptCount val="1"/>
                    </c:strCache>
                  </c:strRef>
                </c:tx>
                <c:spPr>
                  <a:solidFill>
                    <a:schemeClr val="accent3">
                      <a:lumMod val="80000"/>
                    </a:schemeClr>
                  </a:solidFill>
                  <a:ln>
                    <a:noFill/>
                  </a:ln>
                  <a:effectLst/>
                </c:spPr>
                <c:invertIfNegative val="0"/>
                <c:cat>
                  <c:strRef>
                    <c:extLst xmlns:c15="http://schemas.microsoft.com/office/drawing/2012/chart">
                      <c:ext xmlns:c15="http://schemas.microsoft.com/office/drawing/2012/chart" uri="{02D57815-91ED-43cb-92C2-25804820EDAC}">
                        <c15:formulaRef>
                          <c15:sqref>'2 INGRESOS mensuales'!$B$4:$M$4</c15:sqref>
                        </c15:formulaRef>
                      </c:ext>
                    </c:extLst>
                    <c:strCache>
                      <c:ptCount val="12"/>
                      <c:pt idx="0">
                        <c:v>Ene</c:v>
                      </c:pt>
                      <c:pt idx="1">
                        <c:v>Feb</c:v>
                      </c:pt>
                      <c:pt idx="2">
                        <c:v>Mar</c:v>
                      </c:pt>
                      <c:pt idx="3">
                        <c:v>Abr</c:v>
                      </c:pt>
                      <c:pt idx="4">
                        <c:v>May</c:v>
                      </c:pt>
                      <c:pt idx="5">
                        <c:v>Jun</c:v>
                      </c:pt>
                      <c:pt idx="6">
                        <c:v>Jul</c:v>
                      </c:pt>
                      <c:pt idx="7">
                        <c:v>Ago</c:v>
                      </c:pt>
                      <c:pt idx="8">
                        <c:v>Sep</c:v>
                      </c:pt>
                      <c:pt idx="9">
                        <c:v>Oct</c:v>
                      </c:pt>
                      <c:pt idx="10">
                        <c:v>Nov</c:v>
                      </c:pt>
                      <c:pt idx="11">
                        <c:v>Dic</c:v>
                      </c:pt>
                    </c:strCache>
                  </c:strRef>
                </c:cat>
                <c:val>
                  <c:numRef>
                    <c:extLst xmlns:c15="http://schemas.microsoft.com/office/drawing/2012/chart">
                      <c:ext xmlns:c15="http://schemas.microsoft.com/office/drawing/2012/chart" uri="{02D57815-91ED-43cb-92C2-25804820EDAC}">
                        <c15:formulaRef>
                          <c15:sqref>'2 INGRESOS mensuales'!$B$25:$M$25</c15:sqref>
                        </c15:formulaRef>
                      </c:ext>
                    </c:extLst>
                    <c:numCache>
                      <c:formatCode>#,##0\ [$€-1]</c:formatCode>
                      <c:ptCount val="12"/>
                    </c:numCache>
                  </c:numRef>
                </c:val>
                <c:extLst xmlns:c15="http://schemas.microsoft.com/office/drawing/2012/chart">
                  <c:ext xmlns:c16="http://schemas.microsoft.com/office/drawing/2014/chart" uri="{C3380CC4-5D6E-409C-BE32-E72D297353CC}">
                    <c16:uniqueId val="{00000014-8FFD-4545-86CD-9BE6B562921B}"/>
                  </c:ext>
                </c:extLst>
              </c15:ser>
            </c15:filteredBarSeries>
          </c:ext>
        </c:extLst>
      </c:barChart>
      <c:catAx>
        <c:axId val="128817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172784"/>
        <c:crosses val="autoZero"/>
        <c:auto val="1"/>
        <c:lblAlgn val="ctr"/>
        <c:lblOffset val="100"/>
        <c:noMultiLvlLbl val="0"/>
      </c:catAx>
      <c:valAx>
        <c:axId val="1288172784"/>
        <c:scaling>
          <c:orientation val="minMax"/>
        </c:scaling>
        <c:delete val="0"/>
        <c:axPos val="l"/>
        <c:majorGridlines>
          <c:spPr>
            <a:ln w="9525" cap="flat" cmpd="sng" algn="ctr">
              <a:solidFill>
                <a:schemeClr val="tx1">
                  <a:lumMod val="15000"/>
                  <a:lumOff val="85000"/>
                </a:schemeClr>
              </a:solidFill>
              <a:round/>
            </a:ln>
            <a:effectLst/>
          </c:spPr>
        </c:majorGridlines>
        <c:numFmt formatCode="#,##0\ [$€-1]"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175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0</xdr:col>
      <xdr:colOff>381000</xdr:colOff>
      <xdr:row>1</xdr:row>
      <xdr:rowOff>57150</xdr:rowOff>
    </xdr:from>
    <xdr:ext cx="6753225" cy="2952750"/>
    <xdr:sp macro="" textlink="">
      <xdr:nvSpPr>
        <xdr:cNvPr id="3" name="Shape 3">
          <a:extLst>
            <a:ext uri="{FF2B5EF4-FFF2-40B4-BE49-F238E27FC236}">
              <a16:creationId xmlns:a16="http://schemas.microsoft.com/office/drawing/2014/main" id="{00000000-0008-0000-0100-000003000000}"/>
            </a:ext>
          </a:extLst>
        </xdr:cNvPr>
        <xdr:cNvSpPr txBox="1"/>
      </xdr:nvSpPr>
      <xdr:spPr>
        <a:xfrm>
          <a:off x="546450" y="223300"/>
          <a:ext cx="6731700" cy="2931600"/>
        </a:xfrm>
        <a:prstGeom prst="rect">
          <a:avLst/>
        </a:prstGeom>
        <a:noFill/>
        <a:ln>
          <a:noFill/>
        </a:ln>
      </xdr:spPr>
      <xdr:txBody>
        <a:bodyPr spcFirstLastPara="1" wrap="square" lIns="91425" tIns="91425" rIns="91425" bIns="91425" anchor="t" anchorCtr="0">
          <a:spAutoFit/>
        </a:bodyPr>
        <a:lstStyle/>
        <a:p>
          <a:pPr marL="0" lvl="0" indent="0" algn="just" rtl="0">
            <a:lnSpc>
              <a:spcPct val="115000"/>
            </a:lnSpc>
            <a:spcBef>
              <a:spcPts val="0"/>
            </a:spcBef>
            <a:spcAft>
              <a:spcPts val="0"/>
            </a:spcAft>
            <a:buNone/>
          </a:pPr>
          <a:r>
            <a:rPr lang="en-US" sz="1100" b="1"/>
            <a:t>SEMANA 1. VISIÓN GENERAL DE LA SALUD FINANCIERA DE TU NEGOCIO</a:t>
          </a:r>
          <a:endParaRPr sz="1100" b="1"/>
        </a:p>
        <a:p>
          <a:pPr marL="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OBJETIVO: Conocer el significado de los conceptos básicos de finanzas y valorar la situación actual de nuestro negocio en términos de salud financiera.</a:t>
          </a:r>
          <a:endParaRPr sz="1100"/>
        </a:p>
        <a:p>
          <a:pPr marL="45720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ACTIVIDADES: </a:t>
          </a:r>
          <a:endParaRPr sz="1100"/>
        </a:p>
        <a:p>
          <a:pPr marL="457200" lvl="0" indent="-298450" algn="just" rtl="0">
            <a:lnSpc>
              <a:spcPct val="115000"/>
            </a:lnSpc>
            <a:spcBef>
              <a:spcPts val="0"/>
            </a:spcBef>
            <a:spcAft>
              <a:spcPts val="0"/>
            </a:spcAft>
            <a:buSzPts val="1100"/>
            <a:buAutoNum type="arabicPeriod"/>
          </a:pPr>
          <a:r>
            <a:rPr lang="en-US" sz="1100"/>
            <a:t>Lee el glosario de conceptos básicos y ubica cada concepto en relación con tu negocio.</a:t>
          </a:r>
          <a:endParaRPr sz="1100"/>
        </a:p>
        <a:p>
          <a:pPr marL="457200" lvl="0" indent="-298450" algn="just" rtl="0">
            <a:lnSpc>
              <a:spcPct val="115000"/>
            </a:lnSpc>
            <a:spcBef>
              <a:spcPts val="0"/>
            </a:spcBef>
            <a:spcAft>
              <a:spcPts val="0"/>
            </a:spcAft>
            <a:buSzPts val="1100"/>
            <a:buAutoNum type="arabicPeriod"/>
          </a:pPr>
          <a:r>
            <a:rPr lang="en-US" sz="1100"/>
            <a:t>Anota todas las preguntas en el formulario de dudas para poderlas responder cuanto antes.</a:t>
          </a:r>
          <a:endParaRPr sz="1100"/>
        </a:p>
        <a:p>
          <a:pPr marL="457200" lvl="0" indent="-298450" algn="just" rtl="0">
            <a:lnSpc>
              <a:spcPct val="115000"/>
            </a:lnSpc>
            <a:spcBef>
              <a:spcPts val="0"/>
            </a:spcBef>
            <a:spcAft>
              <a:spcPts val="0"/>
            </a:spcAft>
            <a:buSzPts val="1100"/>
            <a:buAutoNum type="arabicPeriod"/>
          </a:pPr>
          <a:r>
            <a:rPr lang="en-US" sz="1100"/>
            <a:t>Responde el cuestionario de salud financiera.</a:t>
          </a:r>
          <a:endParaRPr sz="1100"/>
        </a:p>
        <a:p>
          <a:pPr marL="457200" lvl="0" indent="-298450" algn="just" rtl="0">
            <a:lnSpc>
              <a:spcPct val="115000"/>
            </a:lnSpc>
            <a:spcBef>
              <a:spcPts val="0"/>
            </a:spcBef>
            <a:spcAft>
              <a:spcPts val="0"/>
            </a:spcAft>
            <a:buSzPts val="1100"/>
            <a:buAutoNum type="arabicPeriod"/>
          </a:pPr>
          <a:r>
            <a:rPr lang="en-US" sz="1100"/>
            <a:t>Analizar los resultados.</a:t>
          </a:r>
          <a:endParaRPr sz="1100"/>
        </a:p>
        <a:p>
          <a:pPr marL="457200" lvl="0" indent="-298450" algn="just" rtl="0">
            <a:lnSpc>
              <a:spcPct val="115000"/>
            </a:lnSpc>
            <a:spcBef>
              <a:spcPts val="0"/>
            </a:spcBef>
            <a:spcAft>
              <a:spcPts val="0"/>
            </a:spcAft>
            <a:buSzPts val="1100"/>
            <a:buAutoNum type="arabicPeriod"/>
          </a:pPr>
          <a:r>
            <a:rPr lang="en-US" sz="1100"/>
            <a:t>Anota cuáles fueron las preguntas del cuestionario que respondiste con valor de 1. Esto te indicará por donde podrás comenzar los cambios para obtener una mejor salud financiera en tu negocio.</a:t>
          </a:r>
          <a:endParaRPr sz="1100"/>
        </a:p>
        <a:p>
          <a:pPr marL="0" lvl="0" indent="0" algn="l" rtl="0">
            <a:spcBef>
              <a:spcPts val="0"/>
            </a:spcBef>
            <a:spcAft>
              <a:spcPts val="0"/>
            </a:spcAft>
            <a:buNone/>
          </a:pP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285750</xdr:colOff>
      <xdr:row>2</xdr:row>
      <xdr:rowOff>95250</xdr:rowOff>
    </xdr:from>
    <xdr:ext cx="7391400" cy="4019550"/>
    <xdr:sp macro="" textlink="">
      <xdr:nvSpPr>
        <xdr:cNvPr id="4" name="Shape 4">
          <a:extLst>
            <a:ext uri="{FF2B5EF4-FFF2-40B4-BE49-F238E27FC236}">
              <a16:creationId xmlns:a16="http://schemas.microsoft.com/office/drawing/2014/main" id="{00000000-0008-0000-0400-000004000000}"/>
            </a:ext>
          </a:extLst>
        </xdr:cNvPr>
        <xdr:cNvSpPr txBox="1"/>
      </xdr:nvSpPr>
      <xdr:spPr>
        <a:xfrm>
          <a:off x="131975" y="385725"/>
          <a:ext cx="7369500" cy="3999600"/>
        </a:xfrm>
        <a:prstGeom prst="rect">
          <a:avLst/>
        </a:prstGeom>
        <a:noFill/>
        <a:ln>
          <a:noFill/>
        </a:ln>
      </xdr:spPr>
      <xdr:txBody>
        <a:bodyPr spcFirstLastPara="1" wrap="square" lIns="91425" tIns="91425" rIns="91425" bIns="91425" anchor="t" anchorCtr="0">
          <a:noAutofit/>
        </a:bodyPr>
        <a:lstStyle/>
        <a:p>
          <a:pPr marL="0" lvl="0" indent="0" algn="just" rtl="0">
            <a:lnSpc>
              <a:spcPct val="115000"/>
            </a:lnSpc>
            <a:spcBef>
              <a:spcPts val="0"/>
            </a:spcBef>
            <a:spcAft>
              <a:spcPts val="0"/>
            </a:spcAft>
            <a:buNone/>
          </a:pPr>
          <a:r>
            <a:rPr lang="en-US" sz="1100" b="1"/>
            <a:t>SEMANA 2. RECONOCER Y CLASIFICAR LAS PARTIDAS FINANCIERAS DE TU NEGOCIO</a:t>
          </a:r>
          <a:endParaRPr sz="1100" b="1"/>
        </a:p>
        <a:p>
          <a:pPr marL="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OBJETIVO: Reconocer y clasificar todos los gastos operativos del negocio, los diferentes ingresos y las compensaciones o salario que estás recibiendo (tanto las compensaciones preestablecidas como las “ocultas”, que son esas cantidades de dinero que tomas del negocio de forma eventual para cubrir gastos personales)</a:t>
          </a:r>
          <a:endParaRPr sz="1100"/>
        </a:p>
        <a:p>
          <a:pPr marL="45720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ACTIVIDADES: </a:t>
          </a:r>
          <a:endParaRPr sz="1100"/>
        </a:p>
        <a:p>
          <a:pPr marL="457200" lvl="0" indent="-298450" algn="just" rtl="0">
            <a:lnSpc>
              <a:spcPct val="115000"/>
            </a:lnSpc>
            <a:spcBef>
              <a:spcPts val="0"/>
            </a:spcBef>
            <a:spcAft>
              <a:spcPts val="0"/>
            </a:spcAft>
            <a:buSzPts val="1100"/>
            <a:buAutoNum type="arabicPeriod"/>
          </a:pPr>
          <a:r>
            <a:rPr lang="en-US" sz="1100"/>
            <a:t>Llenar solamente las PESTAÑAS: 1 GASTOS, 2 INGRESOS, 3 COMPENSACIÓN).</a:t>
          </a:r>
          <a:endParaRPr sz="1100"/>
        </a:p>
        <a:p>
          <a:pPr marL="457200" lvl="0" indent="-298450" algn="just" rtl="0">
            <a:lnSpc>
              <a:spcPct val="115000"/>
            </a:lnSpc>
            <a:spcBef>
              <a:spcPts val="0"/>
            </a:spcBef>
            <a:spcAft>
              <a:spcPts val="0"/>
            </a:spcAft>
            <a:buSzPts val="1100"/>
            <a:buAutoNum type="arabicPeriod"/>
          </a:pPr>
          <a:r>
            <a:rPr lang="en-US" sz="1100"/>
            <a:t>Toma el tiempo necesario para llenar esta información con mucha atención y consciencia. No olvides nada, haz un recorrido mental de tu día a día para asegurarte que estás incluyendo todos los valores que corresponden a cada pestaña.</a:t>
          </a:r>
          <a:endParaRPr sz="1100"/>
        </a:p>
        <a:p>
          <a:pPr marL="0" lvl="0" indent="0" algn="l" rtl="0">
            <a:spcBef>
              <a:spcPts val="0"/>
            </a:spcBef>
            <a:spcAft>
              <a:spcPts val="0"/>
            </a:spcAft>
            <a:buNone/>
          </a:pP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1482725</xdr:colOff>
      <xdr:row>44</xdr:row>
      <xdr:rowOff>152400</xdr:rowOff>
    </xdr:from>
    <xdr:to>
      <xdr:col>3</xdr:col>
      <xdr:colOff>111125</xdr:colOff>
      <xdr:row>58</xdr:row>
      <xdr:rowOff>139700</xdr:rowOff>
    </xdr:to>
    <xdr:graphicFrame macro="">
      <xdr:nvGraphicFramePr>
        <xdr:cNvPr id="2" name="Gráfico 1">
          <a:extLst>
            <a:ext uri="{FF2B5EF4-FFF2-40B4-BE49-F238E27FC236}">
              <a16:creationId xmlns:a16="http://schemas.microsoft.com/office/drawing/2014/main" id="{260243FF-6CC8-8C67-FCC4-CCCE1FF608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635000</xdr:colOff>
      <xdr:row>45</xdr:row>
      <xdr:rowOff>27214</xdr:rowOff>
    </xdr:from>
    <xdr:to>
      <xdr:col>10</xdr:col>
      <xdr:colOff>134257</xdr:colOff>
      <xdr:row>59</xdr:row>
      <xdr:rowOff>14514</xdr:rowOff>
    </xdr:to>
    <xdr:graphicFrame macro="">
      <xdr:nvGraphicFramePr>
        <xdr:cNvPr id="3" name="Gráfico 2">
          <a:extLst>
            <a:ext uri="{FF2B5EF4-FFF2-40B4-BE49-F238E27FC236}">
              <a16:creationId xmlns:a16="http://schemas.microsoft.com/office/drawing/2014/main" id="{5D9E69DC-303C-47F9-B8DF-BB4B15E12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46</xdr:row>
      <xdr:rowOff>0</xdr:rowOff>
    </xdr:from>
    <xdr:to>
      <xdr:col>15</xdr:col>
      <xdr:colOff>143329</xdr:colOff>
      <xdr:row>59</xdr:row>
      <xdr:rowOff>186871</xdr:rowOff>
    </xdr:to>
    <xdr:graphicFrame macro="">
      <xdr:nvGraphicFramePr>
        <xdr:cNvPr id="4" name="Gráfico 3">
          <a:extLst>
            <a:ext uri="{FF2B5EF4-FFF2-40B4-BE49-F238E27FC236}">
              <a16:creationId xmlns:a16="http://schemas.microsoft.com/office/drawing/2014/main" id="{DA503BE9-6510-4476-8AF3-EAB3DF0D3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5469</xdr:colOff>
      <xdr:row>4</xdr:row>
      <xdr:rowOff>164940</xdr:rowOff>
    </xdr:from>
    <xdr:to>
      <xdr:col>21</xdr:col>
      <xdr:colOff>170890</xdr:colOff>
      <xdr:row>19</xdr:row>
      <xdr:rowOff>58645</xdr:rowOff>
    </xdr:to>
    <xdr:graphicFrame macro="">
      <xdr:nvGraphicFramePr>
        <xdr:cNvPr id="5" name="Gráfico 4">
          <a:extLst>
            <a:ext uri="{FF2B5EF4-FFF2-40B4-BE49-F238E27FC236}">
              <a16:creationId xmlns:a16="http://schemas.microsoft.com/office/drawing/2014/main" id="{1B92ADE7-C0A3-DF71-0B25-58C3E745DD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405947</xdr:colOff>
      <xdr:row>5</xdr:row>
      <xdr:rowOff>104775</xdr:rowOff>
    </xdr:from>
    <xdr:to>
      <xdr:col>25</xdr:col>
      <xdr:colOff>560161</xdr:colOff>
      <xdr:row>19</xdr:row>
      <xdr:rowOff>153761</xdr:rowOff>
    </xdr:to>
    <xdr:graphicFrame macro="">
      <xdr:nvGraphicFramePr>
        <xdr:cNvPr id="8" name="Gráfico 7">
          <a:extLst>
            <a:ext uri="{FF2B5EF4-FFF2-40B4-BE49-F238E27FC236}">
              <a16:creationId xmlns:a16="http://schemas.microsoft.com/office/drawing/2014/main" id="{87F9FCD5-FF1D-BEC1-7908-D07BD81787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150089</xdr:colOff>
      <xdr:row>57</xdr:row>
      <xdr:rowOff>129309</xdr:rowOff>
    </xdr:from>
    <xdr:to>
      <xdr:col>4</xdr:col>
      <xdr:colOff>126999</xdr:colOff>
      <xdr:row>76</xdr:row>
      <xdr:rowOff>23090</xdr:rowOff>
    </xdr:to>
    <xdr:graphicFrame macro="">
      <xdr:nvGraphicFramePr>
        <xdr:cNvPr id="2" name="Gráfico 1">
          <a:extLst>
            <a:ext uri="{FF2B5EF4-FFF2-40B4-BE49-F238E27FC236}">
              <a16:creationId xmlns:a16="http://schemas.microsoft.com/office/drawing/2014/main" id="{DDCB7325-84FF-2A34-5886-1D308C38EC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565727</xdr:colOff>
      <xdr:row>58</xdr:row>
      <xdr:rowOff>0</xdr:rowOff>
    </xdr:from>
    <xdr:to>
      <xdr:col>11</xdr:col>
      <xdr:colOff>138546</xdr:colOff>
      <xdr:row>76</xdr:row>
      <xdr:rowOff>55418</xdr:rowOff>
    </xdr:to>
    <xdr:graphicFrame macro="">
      <xdr:nvGraphicFramePr>
        <xdr:cNvPr id="3" name="Gráfico 2">
          <a:extLst>
            <a:ext uri="{FF2B5EF4-FFF2-40B4-BE49-F238E27FC236}">
              <a16:creationId xmlns:a16="http://schemas.microsoft.com/office/drawing/2014/main" id="{2EE0A092-4911-4404-801D-D31C95A0C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58</xdr:row>
      <xdr:rowOff>0</xdr:rowOff>
    </xdr:from>
    <xdr:to>
      <xdr:col>17</xdr:col>
      <xdr:colOff>127001</xdr:colOff>
      <xdr:row>76</xdr:row>
      <xdr:rowOff>55418</xdr:rowOff>
    </xdr:to>
    <xdr:graphicFrame macro="">
      <xdr:nvGraphicFramePr>
        <xdr:cNvPr id="4" name="Gráfico 3">
          <a:extLst>
            <a:ext uri="{FF2B5EF4-FFF2-40B4-BE49-F238E27FC236}">
              <a16:creationId xmlns:a16="http://schemas.microsoft.com/office/drawing/2014/main" id="{65E0F7C3-810D-4DB4-A1E6-AFF476496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317840</xdr:colOff>
      <xdr:row>3</xdr:row>
      <xdr:rowOff>226767</xdr:rowOff>
    </xdr:from>
    <xdr:to>
      <xdr:col>21</xdr:col>
      <xdr:colOff>502568</xdr:colOff>
      <xdr:row>17</xdr:row>
      <xdr:rowOff>83603</xdr:rowOff>
    </xdr:to>
    <xdr:graphicFrame macro="">
      <xdr:nvGraphicFramePr>
        <xdr:cNvPr id="6" name="Gráfico 5">
          <a:extLst>
            <a:ext uri="{FF2B5EF4-FFF2-40B4-BE49-F238E27FC236}">
              <a16:creationId xmlns:a16="http://schemas.microsoft.com/office/drawing/2014/main" id="{5FDC51B0-A7A1-3500-6644-D579485603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0</xdr:col>
      <xdr:colOff>933450</xdr:colOff>
      <xdr:row>1</xdr:row>
      <xdr:rowOff>190500</xdr:rowOff>
    </xdr:from>
    <xdr:ext cx="7429500" cy="3562350"/>
    <xdr:sp macro="" textlink="">
      <xdr:nvSpPr>
        <xdr:cNvPr id="5" name="Shape 5">
          <a:extLst>
            <a:ext uri="{FF2B5EF4-FFF2-40B4-BE49-F238E27FC236}">
              <a16:creationId xmlns:a16="http://schemas.microsoft.com/office/drawing/2014/main" id="{00000000-0008-0000-0800-000005000000}"/>
            </a:ext>
          </a:extLst>
        </xdr:cNvPr>
        <xdr:cNvSpPr txBox="1"/>
      </xdr:nvSpPr>
      <xdr:spPr>
        <a:xfrm>
          <a:off x="121800" y="192875"/>
          <a:ext cx="7410300" cy="3542700"/>
        </a:xfrm>
        <a:prstGeom prst="rect">
          <a:avLst/>
        </a:prstGeom>
        <a:noFill/>
        <a:ln>
          <a:noFill/>
        </a:ln>
      </xdr:spPr>
      <xdr:txBody>
        <a:bodyPr spcFirstLastPara="1" wrap="square" lIns="91425" tIns="91425" rIns="91425" bIns="91425" anchor="t" anchorCtr="0">
          <a:noAutofit/>
        </a:bodyPr>
        <a:lstStyle/>
        <a:p>
          <a:pPr marL="0" lvl="0" indent="0" algn="just" rtl="0">
            <a:lnSpc>
              <a:spcPct val="115000"/>
            </a:lnSpc>
            <a:spcBef>
              <a:spcPts val="0"/>
            </a:spcBef>
            <a:spcAft>
              <a:spcPts val="0"/>
            </a:spcAft>
            <a:buNone/>
          </a:pPr>
          <a:r>
            <a:rPr lang="en-US" sz="1100" b="1"/>
            <a:t>SEMANA 3. ENFÓCATE EN GANANCIAS Y NO EN GASTOS</a:t>
          </a:r>
          <a:endParaRPr sz="1100" b="1"/>
        </a:p>
        <a:p>
          <a:pPr marL="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OBJETIVO: Cambiar nuestro pensamiento sobre la fórmula clave de un negocio. </a:t>
          </a:r>
          <a:endParaRPr sz="1100"/>
        </a:p>
        <a:p>
          <a:pPr marL="0" lvl="0" indent="0" algn="just" rtl="0">
            <a:lnSpc>
              <a:spcPct val="115000"/>
            </a:lnSpc>
            <a:spcBef>
              <a:spcPts val="0"/>
            </a:spcBef>
            <a:spcAft>
              <a:spcPts val="0"/>
            </a:spcAft>
            <a:buNone/>
          </a:pPr>
          <a:r>
            <a:rPr lang="en-US" sz="1100"/>
            <a:t>Normalmente pensamos en: VENTAS - GASTOS =  GANANCIAS </a:t>
          </a:r>
          <a:endParaRPr sz="1100"/>
        </a:p>
        <a:p>
          <a:pPr marL="0" lvl="0" indent="0" algn="just" rtl="0">
            <a:lnSpc>
              <a:spcPct val="115000"/>
            </a:lnSpc>
            <a:spcBef>
              <a:spcPts val="0"/>
            </a:spcBef>
            <a:spcAft>
              <a:spcPts val="0"/>
            </a:spcAft>
            <a:buNone/>
          </a:pPr>
          <a:r>
            <a:rPr lang="en-US" sz="1100"/>
            <a:t>Cuando en realidad debemos pensar en: VENTAS - GANANCIAS = GASTOS.</a:t>
          </a:r>
          <a:endParaRPr sz="1100"/>
        </a:p>
        <a:p>
          <a:pPr marL="0" lvl="0" indent="0" algn="just" rtl="0">
            <a:lnSpc>
              <a:spcPct val="115000"/>
            </a:lnSpc>
            <a:spcBef>
              <a:spcPts val="0"/>
            </a:spcBef>
            <a:spcAft>
              <a:spcPts val="0"/>
            </a:spcAft>
            <a:buNone/>
          </a:pPr>
          <a:r>
            <a:rPr lang="en-US" sz="1100"/>
            <a:t>A partir de este momento vamos a trabajar en sacar nuestra ganancia primero y luego ajustar los gastos. </a:t>
          </a:r>
          <a:endParaRPr sz="1100"/>
        </a:p>
        <a:p>
          <a:pPr marL="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ACTIVIDADES: </a:t>
          </a:r>
          <a:endParaRPr sz="1100"/>
        </a:p>
        <a:p>
          <a:pPr marL="457200" lvl="0" indent="-298450" algn="just" rtl="0">
            <a:lnSpc>
              <a:spcPct val="115000"/>
            </a:lnSpc>
            <a:spcBef>
              <a:spcPts val="0"/>
            </a:spcBef>
            <a:spcAft>
              <a:spcPts val="0"/>
            </a:spcAft>
            <a:buSzPts val="1100"/>
            <a:buAutoNum type="arabicPeriod"/>
          </a:pPr>
          <a:r>
            <a:rPr lang="en-US" sz="1100"/>
            <a:t>Abrir 5 cuentas de Banco. Cada una de estas cuentas servirán para separar y llevar el control de las diferentes partidas de tu negocio: Ingresos, Gastos Operativos, Ganancias, Compensación del dueño, Impuestos). Más adelante te explicaremos para qué vas a usar cada cuenta.</a:t>
          </a:r>
          <a:endParaRPr sz="1100"/>
        </a:p>
        <a:p>
          <a:pPr marL="0" lvl="0" indent="0" algn="just" rtl="0">
            <a:lnSpc>
              <a:spcPct val="115000"/>
            </a:lnSpc>
            <a:spcBef>
              <a:spcPts val="0"/>
            </a:spcBef>
            <a:spcAft>
              <a:spcPts val="0"/>
            </a:spcAft>
            <a:buNone/>
          </a:pPr>
          <a:endParaRPr sz="1100"/>
        </a:p>
        <a:p>
          <a:pPr marL="0" lvl="0" indent="457200" algn="just" rtl="0">
            <a:lnSpc>
              <a:spcPct val="115000"/>
            </a:lnSpc>
            <a:spcBef>
              <a:spcPts val="0"/>
            </a:spcBef>
            <a:spcAft>
              <a:spcPts val="0"/>
            </a:spcAft>
            <a:buNone/>
          </a:pPr>
          <a:r>
            <a:rPr lang="en-US" sz="1100" i="1"/>
            <a:t>Recomendaciones para seleccionar el o los bancos para estas cuentas:</a:t>
          </a:r>
          <a:endParaRPr sz="1100" i="1"/>
        </a:p>
        <a:p>
          <a:pPr marL="457200" lvl="0" indent="0" algn="just" rtl="0">
            <a:lnSpc>
              <a:spcPct val="115000"/>
            </a:lnSpc>
            <a:spcBef>
              <a:spcPts val="0"/>
            </a:spcBef>
            <a:spcAft>
              <a:spcPts val="0"/>
            </a:spcAft>
            <a:buNone/>
          </a:pPr>
          <a:r>
            <a:rPr lang="en-US" sz="1100" i="1"/>
            <a:t>Selecciona un banco flexible, que permita abrir cuentas de forma digital y que sea cero comisiones.</a:t>
          </a:r>
          <a:endParaRPr sz="1100" i="1"/>
        </a:p>
        <a:p>
          <a:pPr marL="457200" lvl="0" indent="0" algn="just" rtl="0">
            <a:lnSpc>
              <a:spcPct val="115000"/>
            </a:lnSpc>
            <a:spcBef>
              <a:spcPts val="0"/>
            </a:spcBef>
            <a:spcAft>
              <a:spcPts val="0"/>
            </a:spcAft>
            <a:buNone/>
          </a:pPr>
          <a:r>
            <a:rPr lang="en-US" sz="1100" i="1"/>
            <a:t>EN BASE A NUESTRA EXPERIENCIA Y CONOCIMIENTO TE RECOMENDAMOS USAR EL BANCO DIGITAL REVOLUT. INCLUIMOS EL ENLACE A SU PÁGINA.</a:t>
          </a:r>
          <a:endParaRPr sz="1100"/>
        </a:p>
        <a:p>
          <a:pPr marL="0" lvl="0" indent="0" algn="l" rtl="0">
            <a:spcBef>
              <a:spcPts val="0"/>
            </a:spcBef>
            <a:spcAft>
              <a:spcPts val="0"/>
            </a:spcAft>
            <a:buNone/>
          </a:pPr>
          <a:endParaRPr sz="1400"/>
        </a:p>
      </xdr:txBody>
    </xdr:sp>
    <xdr:clientData fLocksWithSheet="0"/>
  </xdr:oneCellAnchor>
  <xdr:oneCellAnchor>
    <xdr:from>
      <xdr:col>0</xdr:col>
      <xdr:colOff>933450</xdr:colOff>
      <xdr:row>18</xdr:row>
      <xdr:rowOff>171450</xdr:rowOff>
    </xdr:from>
    <xdr:ext cx="7620000" cy="5210175"/>
    <xdr:sp macro="" textlink="">
      <xdr:nvSpPr>
        <xdr:cNvPr id="6" name="Shape 6">
          <a:extLst>
            <a:ext uri="{FF2B5EF4-FFF2-40B4-BE49-F238E27FC236}">
              <a16:creationId xmlns:a16="http://schemas.microsoft.com/office/drawing/2014/main" id="{00000000-0008-0000-0800-000006000000}"/>
            </a:ext>
          </a:extLst>
        </xdr:cNvPr>
        <xdr:cNvSpPr txBox="1"/>
      </xdr:nvSpPr>
      <xdr:spPr>
        <a:xfrm>
          <a:off x="-50750" y="152275"/>
          <a:ext cx="7670700" cy="5187300"/>
        </a:xfrm>
        <a:prstGeom prst="rect">
          <a:avLst/>
        </a:prstGeom>
        <a:noFill/>
        <a:ln>
          <a:noFill/>
        </a:ln>
      </xdr:spPr>
      <xdr:txBody>
        <a:bodyPr spcFirstLastPara="1" wrap="square" lIns="91425" tIns="91425" rIns="91425" bIns="91425" anchor="t" anchorCtr="0">
          <a:noAutofit/>
        </a:bodyPr>
        <a:lstStyle/>
        <a:p>
          <a:pPr marL="0" lvl="0" indent="0" algn="just" rtl="0">
            <a:lnSpc>
              <a:spcPct val="115000"/>
            </a:lnSpc>
            <a:spcBef>
              <a:spcPts val="0"/>
            </a:spcBef>
            <a:spcAft>
              <a:spcPts val="0"/>
            </a:spcAft>
            <a:buNone/>
          </a:pPr>
          <a:r>
            <a:rPr lang="en-US" sz="1100"/>
            <a:t>2. Valorar la situación financiera actual de tu negocio en función de la distribución de las partidas. </a:t>
          </a:r>
          <a:endParaRPr sz="1100"/>
        </a:p>
        <a:p>
          <a:pPr marL="457200" lvl="0" indent="0" algn="just" rtl="0">
            <a:lnSpc>
              <a:spcPct val="115000"/>
            </a:lnSpc>
            <a:spcBef>
              <a:spcPts val="0"/>
            </a:spcBef>
            <a:spcAft>
              <a:spcPts val="0"/>
            </a:spcAft>
            <a:buNone/>
          </a:pPr>
          <a:r>
            <a:rPr lang="en-US" sz="1100"/>
            <a:t>PASOS A SEGUIR:</a:t>
          </a:r>
          <a:endParaRPr sz="1100"/>
        </a:p>
        <a:p>
          <a:pPr marL="914400" lvl="0" indent="-298450" algn="just" rtl="0">
            <a:lnSpc>
              <a:spcPct val="115000"/>
            </a:lnSpc>
            <a:spcBef>
              <a:spcPts val="0"/>
            </a:spcBef>
            <a:spcAft>
              <a:spcPts val="0"/>
            </a:spcAft>
            <a:buSzPts val="1100"/>
            <a:buAutoNum type="alphaUcPeriod"/>
          </a:pPr>
          <a:r>
            <a:rPr lang="en-US" sz="1100"/>
            <a:t>Ve a la pestaña 1 de GASTOS e identifica el valor de la celda D30 que está en color </a:t>
          </a:r>
          <a:r>
            <a:rPr lang="en-US" sz="1100">
              <a:highlight>
                <a:srgbClr val="B6D7A8"/>
              </a:highlight>
            </a:rPr>
            <a:t>verde</a:t>
          </a:r>
          <a:r>
            <a:rPr lang="en-US" sz="1100"/>
            <a:t>.</a:t>
          </a:r>
          <a:endParaRPr sz="1100"/>
        </a:p>
        <a:p>
          <a:pPr marL="914400" lvl="0" indent="0" algn="just" rtl="0">
            <a:lnSpc>
              <a:spcPct val="115000"/>
            </a:lnSpc>
            <a:spcBef>
              <a:spcPts val="0"/>
            </a:spcBef>
            <a:spcAft>
              <a:spcPts val="0"/>
            </a:spcAft>
            <a:buNone/>
          </a:pPr>
          <a:endParaRPr sz="1100"/>
        </a:p>
        <a:p>
          <a:pPr marL="914400" lvl="0" indent="0" algn="just" rtl="0">
            <a:lnSpc>
              <a:spcPct val="115000"/>
            </a:lnSpc>
            <a:spcBef>
              <a:spcPts val="0"/>
            </a:spcBef>
            <a:spcAft>
              <a:spcPts val="0"/>
            </a:spcAft>
            <a:buNone/>
          </a:pPr>
          <a:r>
            <a:rPr lang="en-US" sz="1100">
              <a:highlight>
                <a:srgbClr val="B6D7A8"/>
              </a:highlight>
            </a:rPr>
            <a:t>SI LA CELDA D30 TE DA 30% O MÁS: UTILIZA LA PESTAÑA 4 PARA NEGOCIOS DE PRODUCTOS</a:t>
          </a:r>
          <a:endParaRPr sz="1100">
            <a:highlight>
              <a:srgbClr val="B6D7A8"/>
            </a:highlight>
          </a:endParaRPr>
        </a:p>
        <a:p>
          <a:pPr marL="914400" lvl="0" indent="0" algn="just" rtl="0">
            <a:lnSpc>
              <a:spcPct val="115000"/>
            </a:lnSpc>
            <a:spcBef>
              <a:spcPts val="0"/>
            </a:spcBef>
            <a:spcAft>
              <a:spcPts val="0"/>
            </a:spcAft>
            <a:buNone/>
          </a:pPr>
          <a:endParaRPr sz="1100">
            <a:highlight>
              <a:srgbClr val="B6D7A8"/>
            </a:highlight>
          </a:endParaRPr>
        </a:p>
        <a:p>
          <a:pPr marL="914400" lvl="0" indent="0" algn="just" rtl="0">
            <a:lnSpc>
              <a:spcPct val="115000"/>
            </a:lnSpc>
            <a:spcBef>
              <a:spcPts val="0"/>
            </a:spcBef>
            <a:spcAft>
              <a:spcPts val="0"/>
            </a:spcAft>
            <a:buNone/>
          </a:pPr>
          <a:r>
            <a:rPr lang="en-US" sz="1100">
              <a:highlight>
                <a:srgbClr val="B6D7A8"/>
              </a:highlight>
            </a:rPr>
            <a:t>SI LA CELDA D30 TE DA 29% O MENOS: UTILIZA LA PESTAÑA 4 PARA NEGOCIOS DE SERVICIOS</a:t>
          </a:r>
          <a:endParaRPr sz="1100">
            <a:highlight>
              <a:srgbClr val="B6D7A8"/>
            </a:highlight>
          </a:endParaRPr>
        </a:p>
        <a:p>
          <a:pPr marL="457200" lvl="0" indent="0" algn="just" rtl="0">
            <a:lnSpc>
              <a:spcPct val="115000"/>
            </a:lnSpc>
            <a:spcBef>
              <a:spcPts val="0"/>
            </a:spcBef>
            <a:spcAft>
              <a:spcPts val="0"/>
            </a:spcAft>
            <a:buNone/>
          </a:pPr>
          <a:endParaRPr sz="1100"/>
        </a:p>
        <a:p>
          <a:pPr marL="914400" lvl="0" indent="-298450" algn="just" rtl="0">
            <a:lnSpc>
              <a:spcPct val="115000"/>
            </a:lnSpc>
            <a:spcBef>
              <a:spcPts val="0"/>
            </a:spcBef>
            <a:spcAft>
              <a:spcPts val="0"/>
            </a:spcAft>
            <a:buSzPts val="1100"/>
            <a:buAutoNum type="alphaUcPeriod"/>
          </a:pPr>
          <a:r>
            <a:rPr lang="en-US" sz="1100"/>
            <a:t>Ve a la pestaña 4 DISTRIBUCIÓN AL AZAR que te corresponde y analiza los resultados obtenidos en las columnas D, E y F.</a:t>
          </a:r>
          <a:endParaRPr sz="1100"/>
        </a:p>
        <a:p>
          <a:pPr marL="0" lvl="0" indent="0" algn="just" rtl="0">
            <a:lnSpc>
              <a:spcPct val="115000"/>
            </a:lnSpc>
            <a:spcBef>
              <a:spcPts val="0"/>
            </a:spcBef>
            <a:spcAft>
              <a:spcPts val="0"/>
            </a:spcAft>
            <a:buNone/>
          </a:pPr>
          <a:endParaRPr sz="1100"/>
        </a:p>
        <a:p>
          <a:pPr marL="457200" lvl="0" indent="457200" algn="just" rtl="0">
            <a:lnSpc>
              <a:spcPct val="115000"/>
            </a:lnSpc>
            <a:spcBef>
              <a:spcPts val="0"/>
            </a:spcBef>
            <a:spcAft>
              <a:spcPts val="0"/>
            </a:spcAft>
            <a:buNone/>
          </a:pPr>
          <a:r>
            <a:rPr lang="en-US" sz="1100"/>
            <a:t>Viendo los números de las columnas D, E y F, responder las siguientes preguntas:</a:t>
          </a:r>
          <a:endParaRPr sz="1100"/>
        </a:p>
        <a:p>
          <a:pPr marL="0" lvl="0" indent="0" algn="just" rtl="0">
            <a:lnSpc>
              <a:spcPct val="115000"/>
            </a:lnSpc>
            <a:spcBef>
              <a:spcPts val="0"/>
            </a:spcBef>
            <a:spcAft>
              <a:spcPts val="0"/>
            </a:spcAft>
            <a:buNone/>
          </a:pPr>
          <a:endParaRPr sz="1100"/>
        </a:p>
        <a:p>
          <a:pPr marL="1371600" lvl="0" indent="-298450" algn="just" rtl="0">
            <a:lnSpc>
              <a:spcPct val="115000"/>
            </a:lnSpc>
            <a:spcBef>
              <a:spcPts val="0"/>
            </a:spcBef>
            <a:spcAft>
              <a:spcPts val="0"/>
            </a:spcAft>
            <a:buSzPts val="1100"/>
            <a:buChar char="●"/>
          </a:pPr>
          <a:r>
            <a:rPr lang="en-US" sz="1100"/>
            <a:t>¿Qué tan diferente es la distribución actual al azar, comparada con la ideal?. </a:t>
          </a:r>
          <a:endParaRPr sz="1100"/>
        </a:p>
        <a:p>
          <a:pPr marL="1371600" lvl="0" indent="-298450" algn="just" rtl="0">
            <a:lnSpc>
              <a:spcPct val="115000"/>
            </a:lnSpc>
            <a:spcBef>
              <a:spcPts val="0"/>
            </a:spcBef>
            <a:spcAft>
              <a:spcPts val="0"/>
            </a:spcAft>
            <a:buSzPts val="1100"/>
            <a:buChar char="●"/>
          </a:pPr>
          <a:r>
            <a:rPr lang="en-US" sz="1100"/>
            <a:t>¿En qué partidas encuentras las mayores diferencias?</a:t>
          </a:r>
          <a:endParaRPr sz="1100"/>
        </a:p>
        <a:p>
          <a:pPr marL="1371600" lvl="0" indent="-298450" algn="just" rtl="0">
            <a:lnSpc>
              <a:spcPct val="115000"/>
            </a:lnSpc>
            <a:spcBef>
              <a:spcPts val="0"/>
            </a:spcBef>
            <a:spcAft>
              <a:spcPts val="0"/>
            </a:spcAft>
            <a:buSzPts val="1100"/>
            <a:buChar char="●"/>
          </a:pPr>
          <a:r>
            <a:rPr lang="en-US" sz="1100"/>
            <a:t>¿Qué acciones crees que puedes tomar para mejorar la distribución y acercarte a la ideal?</a:t>
          </a:r>
          <a:endParaRPr sz="1100"/>
        </a:p>
        <a:p>
          <a:pPr marL="0" lvl="0" indent="0" algn="l" rtl="0">
            <a:spcBef>
              <a:spcPts val="0"/>
            </a:spcBef>
            <a:spcAft>
              <a:spcPts val="0"/>
            </a:spcAft>
            <a:buNone/>
          </a:pPr>
          <a:endParaRPr sz="1400"/>
        </a:p>
      </xdr:txBody>
    </xdr:sp>
    <xdr:clientData fLocksWithSheet="0"/>
  </xdr:oneCellAnchor>
  <xdr:oneCellAnchor>
    <xdr:from>
      <xdr:col>0</xdr:col>
      <xdr:colOff>962025</xdr:colOff>
      <xdr:row>35</xdr:row>
      <xdr:rowOff>180975</xdr:rowOff>
    </xdr:from>
    <xdr:ext cx="7572375" cy="5257800"/>
    <xdr:sp macro="" textlink="">
      <xdr:nvSpPr>
        <xdr:cNvPr id="7" name="Shape 7">
          <a:extLst>
            <a:ext uri="{FF2B5EF4-FFF2-40B4-BE49-F238E27FC236}">
              <a16:creationId xmlns:a16="http://schemas.microsoft.com/office/drawing/2014/main" id="{00000000-0008-0000-0800-000007000000}"/>
            </a:ext>
          </a:extLst>
        </xdr:cNvPr>
        <xdr:cNvSpPr txBox="1"/>
      </xdr:nvSpPr>
      <xdr:spPr>
        <a:xfrm>
          <a:off x="-10150" y="203025"/>
          <a:ext cx="7572600" cy="5238000"/>
        </a:xfrm>
        <a:prstGeom prst="rect">
          <a:avLst/>
        </a:prstGeom>
        <a:noFill/>
        <a:ln>
          <a:noFill/>
        </a:ln>
      </xdr:spPr>
      <xdr:txBody>
        <a:bodyPr spcFirstLastPara="1" wrap="square" lIns="91425" tIns="91425" rIns="91425" bIns="91425" anchor="t" anchorCtr="0">
          <a:noAutofit/>
        </a:bodyPr>
        <a:lstStyle/>
        <a:p>
          <a:pPr marL="0" lvl="0" indent="0" algn="just" rtl="0">
            <a:lnSpc>
              <a:spcPct val="115000"/>
            </a:lnSpc>
            <a:spcBef>
              <a:spcPts val="0"/>
            </a:spcBef>
            <a:spcAft>
              <a:spcPts val="0"/>
            </a:spcAft>
            <a:buNone/>
          </a:pPr>
          <a:r>
            <a:rPr lang="en-US" sz="1100" b="1"/>
            <a:t>NOTA IMPORTANTE:</a:t>
          </a:r>
          <a:endParaRPr sz="1100" b="1"/>
        </a:p>
        <a:p>
          <a:pPr marL="0" lvl="0" indent="0" algn="just" rtl="0">
            <a:lnSpc>
              <a:spcPct val="115000"/>
            </a:lnSpc>
            <a:spcBef>
              <a:spcPts val="0"/>
            </a:spcBef>
            <a:spcAft>
              <a:spcPts val="0"/>
            </a:spcAft>
            <a:buNone/>
          </a:pPr>
          <a:r>
            <a:rPr lang="en-US" sz="1100"/>
            <a:t>Si las casillas de verificación no coinciden, es decir, que no se cumple C13=C7 Y F13=F7, entonces hay 3 posibles escenarios: </a:t>
          </a:r>
          <a:endParaRPr sz="1100"/>
        </a:p>
        <a:p>
          <a:pPr marL="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1. Has olvidado colocar algunos gastos en la pestaña 1.</a:t>
          </a:r>
          <a:endParaRPr sz="1100"/>
        </a:p>
        <a:p>
          <a:pPr marL="0" lvl="0" indent="0" algn="just" rtl="0">
            <a:lnSpc>
              <a:spcPct val="115000"/>
            </a:lnSpc>
            <a:spcBef>
              <a:spcPts val="0"/>
            </a:spcBef>
            <a:spcAft>
              <a:spcPts val="0"/>
            </a:spcAft>
            <a:buNone/>
          </a:pPr>
          <a:r>
            <a:rPr lang="en-US" sz="1100"/>
            <a:t>2. Has tomado dinero de tu negocio para gastos personales que no estás colocando en el cuadro de compensación de la pestaña 3.</a:t>
          </a:r>
          <a:endParaRPr sz="1100"/>
        </a:p>
        <a:p>
          <a:pPr marL="0" lvl="0" indent="0" algn="just" rtl="0">
            <a:lnSpc>
              <a:spcPct val="115000"/>
            </a:lnSpc>
            <a:spcBef>
              <a:spcPts val="0"/>
            </a:spcBef>
            <a:spcAft>
              <a:spcPts val="0"/>
            </a:spcAft>
            <a:buNone/>
          </a:pPr>
          <a:r>
            <a:rPr lang="en-US" sz="1100"/>
            <a:t>3. Te está quedando una ganancia a final de año (dinero en el banco después de pagar todos los gastos, impuestos, etc)</a:t>
          </a:r>
          <a:endParaRPr sz="1100"/>
        </a:p>
        <a:p>
          <a:pPr marL="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Si hasta ahora no has registrado todos tus números con precisión, te va resultar casi imposible saber dónde está el dinero que falta.</a:t>
          </a:r>
          <a:endParaRPr sz="1100"/>
        </a:p>
        <a:p>
          <a:pPr marL="0" lvl="0" indent="0" algn="just" rtl="0">
            <a:lnSpc>
              <a:spcPct val="115000"/>
            </a:lnSpc>
            <a:spcBef>
              <a:spcPts val="0"/>
            </a:spcBef>
            <a:spcAft>
              <a:spcPts val="0"/>
            </a:spcAft>
            <a:buNone/>
          </a:pPr>
          <a:r>
            <a:rPr lang="en-US" sz="1100"/>
            <a:t>Es por eso que, a partir de este curso, vas a separar el dinero en cuentas diferentes. Es la mejor manera de tener un control financiero adecuado.</a:t>
          </a:r>
          <a:endParaRPr sz="1100"/>
        </a:p>
        <a:p>
          <a:pPr marL="0" lvl="0" indent="0" algn="l" rtl="0">
            <a:spcBef>
              <a:spcPts val="0"/>
            </a:spcBef>
            <a:spcAft>
              <a:spcPts val="0"/>
            </a:spcAft>
            <a:buNone/>
          </a:pP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152400</xdr:colOff>
      <xdr:row>0</xdr:row>
      <xdr:rowOff>152400</xdr:rowOff>
    </xdr:from>
    <xdr:ext cx="7534275" cy="5133975"/>
    <xdr:sp macro="" textlink="">
      <xdr:nvSpPr>
        <xdr:cNvPr id="8" name="Shape 8">
          <a:extLst>
            <a:ext uri="{FF2B5EF4-FFF2-40B4-BE49-F238E27FC236}">
              <a16:creationId xmlns:a16="http://schemas.microsoft.com/office/drawing/2014/main" id="{00000000-0008-0000-0B00-000008000000}"/>
            </a:ext>
          </a:extLst>
        </xdr:cNvPr>
        <xdr:cNvSpPr txBox="1"/>
      </xdr:nvSpPr>
      <xdr:spPr>
        <a:xfrm>
          <a:off x="60900" y="223325"/>
          <a:ext cx="7511700" cy="5116200"/>
        </a:xfrm>
        <a:prstGeom prst="rect">
          <a:avLst/>
        </a:prstGeom>
        <a:noFill/>
        <a:ln>
          <a:noFill/>
        </a:ln>
      </xdr:spPr>
      <xdr:txBody>
        <a:bodyPr spcFirstLastPara="1" wrap="square" lIns="91425" tIns="91425" rIns="91425" bIns="91425" anchor="t" anchorCtr="0">
          <a:noAutofit/>
        </a:bodyPr>
        <a:lstStyle/>
        <a:p>
          <a:pPr marL="0" lvl="0" indent="0" algn="just" rtl="0">
            <a:lnSpc>
              <a:spcPct val="115000"/>
            </a:lnSpc>
            <a:spcBef>
              <a:spcPts val="0"/>
            </a:spcBef>
            <a:spcAft>
              <a:spcPts val="0"/>
            </a:spcAft>
            <a:buNone/>
          </a:pPr>
          <a:r>
            <a:rPr lang="en-US" sz="1100" b="1"/>
            <a:t>SEMANA 4. PLANIFICA LA DISTRIBUCIÓN DE LAS PARTIDAS FINANCIERAS DE TU NEGOCIO</a:t>
          </a:r>
          <a:endParaRPr sz="1100" b="1"/>
        </a:p>
        <a:p>
          <a:pPr marL="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OBJETIVO: Una vez que conoces tu situación actual en términos de la distribución de las partidas y que tan lejos estás de la situación ideal, ahora tendrás que calcular los cambios que tienes que hacer en los próximos trimestres para alcanzar la distribución ideal en un futuro. </a:t>
          </a:r>
          <a:endParaRPr sz="1100"/>
        </a:p>
        <a:p>
          <a:pPr marL="0" lvl="0" indent="0" algn="just" rtl="0">
            <a:lnSpc>
              <a:spcPct val="115000"/>
            </a:lnSpc>
            <a:spcBef>
              <a:spcPts val="0"/>
            </a:spcBef>
            <a:spcAft>
              <a:spcPts val="0"/>
            </a:spcAft>
            <a:buNone/>
          </a:pPr>
          <a:r>
            <a:rPr lang="en-US" sz="1100"/>
            <a:t>Esto te va a permitir enfocarte en las GANANCIAS de tu negocio y comenzar a REDUCIR GASTOS.</a:t>
          </a:r>
          <a:endParaRPr sz="1100"/>
        </a:p>
        <a:p>
          <a:pPr marL="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ACTIVIDADES</a:t>
          </a:r>
          <a:endParaRPr sz="1100"/>
        </a:p>
        <a:p>
          <a:pPr marL="457200" lvl="0" indent="-298450" algn="just" rtl="0">
            <a:lnSpc>
              <a:spcPct val="115000"/>
            </a:lnSpc>
            <a:spcBef>
              <a:spcPts val="0"/>
            </a:spcBef>
            <a:spcAft>
              <a:spcPts val="0"/>
            </a:spcAft>
            <a:buSzPts val="1100"/>
            <a:buAutoNum type="arabicPeriod"/>
          </a:pPr>
          <a:r>
            <a:rPr lang="en-US" sz="1100"/>
            <a:t>Establecer las metas del próximo trimestre. Para eso vas a trabajar en la pestaña “5 METAS DE DISTRIBUCIÓN…” que te corresponda, dependiendo si tu negocio es de productos (30% o más en gastos en compra de productos para vender y personal subcontratado) o de servicios (29% o menos en gastos en compra de productos para vender y personal subcontratado).</a:t>
          </a:r>
          <a:endParaRPr sz="1100"/>
        </a:p>
        <a:p>
          <a:pPr marL="457200" lvl="0" indent="-298450" algn="just" rtl="0">
            <a:lnSpc>
              <a:spcPct val="115000"/>
            </a:lnSpc>
            <a:spcBef>
              <a:spcPts val="0"/>
            </a:spcBef>
            <a:spcAft>
              <a:spcPts val="0"/>
            </a:spcAft>
            <a:buSzPts val="1100"/>
            <a:buAutoNum type="arabicPeriod"/>
          </a:pPr>
          <a:r>
            <a:rPr lang="en-US" sz="1100"/>
            <a:t>Define el trimestre en el que vas a comenzar tu meta de cambio de distribución de partidas. Fija el día 1 del próximo mes. En este caso vas a tomar el 1 de Enero de 2024 para iniciar la transformación de la distribución de tus partidas, de manera de ir acercándote a la distribución ideal.</a:t>
          </a:r>
          <a:endParaRPr sz="1100"/>
        </a:p>
        <a:p>
          <a:pPr marL="0" lvl="0" indent="0" algn="l" rtl="0">
            <a:spcBef>
              <a:spcPts val="0"/>
            </a:spcBef>
            <a:spcAft>
              <a:spcPts val="0"/>
            </a:spcAft>
            <a:buNone/>
          </a:pPr>
          <a:endParaRPr sz="1400"/>
        </a:p>
      </xdr:txBody>
    </xdr:sp>
    <xdr:clientData fLocksWithSheet="0"/>
  </xdr:oneCellAnchor>
  <xdr:oneCellAnchor>
    <xdr:from>
      <xdr:col>0</xdr:col>
      <xdr:colOff>190500</xdr:colOff>
      <xdr:row>16</xdr:row>
      <xdr:rowOff>85725</xdr:rowOff>
    </xdr:from>
    <xdr:ext cx="7467600" cy="4933950"/>
    <xdr:sp macro="" textlink="">
      <xdr:nvSpPr>
        <xdr:cNvPr id="9" name="Shape 9">
          <a:extLst>
            <a:ext uri="{FF2B5EF4-FFF2-40B4-BE49-F238E27FC236}">
              <a16:creationId xmlns:a16="http://schemas.microsoft.com/office/drawing/2014/main" id="{00000000-0008-0000-0B00-000009000000}"/>
            </a:ext>
          </a:extLst>
        </xdr:cNvPr>
        <xdr:cNvSpPr txBox="1"/>
      </xdr:nvSpPr>
      <xdr:spPr>
        <a:xfrm>
          <a:off x="60900" y="233475"/>
          <a:ext cx="7451100" cy="4913100"/>
        </a:xfrm>
        <a:prstGeom prst="rect">
          <a:avLst/>
        </a:prstGeom>
        <a:noFill/>
        <a:ln>
          <a:noFill/>
        </a:ln>
      </xdr:spPr>
      <xdr:txBody>
        <a:bodyPr spcFirstLastPara="1" wrap="square" lIns="91425" tIns="91425" rIns="91425" bIns="91425" anchor="t" anchorCtr="0">
          <a:noAutofit/>
        </a:bodyPr>
        <a:lstStyle/>
        <a:p>
          <a:pPr marL="457200" lvl="0" indent="0" algn="just" rtl="0">
            <a:lnSpc>
              <a:spcPct val="115000"/>
            </a:lnSpc>
            <a:spcBef>
              <a:spcPts val="0"/>
            </a:spcBef>
            <a:spcAft>
              <a:spcPts val="0"/>
            </a:spcAft>
            <a:buNone/>
          </a:pPr>
          <a:r>
            <a:rPr lang="en-US" sz="1100"/>
            <a:t>PASOS A SEGUIR:</a:t>
          </a:r>
          <a:endParaRPr sz="1100"/>
        </a:p>
        <a:p>
          <a:pPr marL="914400" lvl="1" indent="-298450" algn="just" rtl="0">
            <a:lnSpc>
              <a:spcPct val="115000"/>
            </a:lnSpc>
            <a:spcBef>
              <a:spcPts val="0"/>
            </a:spcBef>
            <a:spcAft>
              <a:spcPts val="0"/>
            </a:spcAft>
            <a:buSzPts val="1100"/>
            <a:buAutoNum type="alphaLcPeriod"/>
          </a:pPr>
          <a:r>
            <a:rPr lang="en-US" sz="1100"/>
            <a:t>Estima cuánto van a ser los INGRESOS (facturación) de ese trimestre que vamos a planificar y lo escribes en la celda H5 (este valor es en EUROS)</a:t>
          </a:r>
          <a:endParaRPr sz="1100"/>
        </a:p>
        <a:p>
          <a:pPr marL="914400" lvl="1" indent="-298450" algn="just" rtl="0">
            <a:lnSpc>
              <a:spcPct val="115000"/>
            </a:lnSpc>
            <a:spcBef>
              <a:spcPts val="0"/>
            </a:spcBef>
            <a:spcAft>
              <a:spcPts val="0"/>
            </a:spcAft>
            <a:buSzPts val="1100"/>
            <a:buAutoNum type="alphaLcPeriod"/>
          </a:pPr>
          <a:r>
            <a:rPr lang="en-US" sz="1100"/>
            <a:t>Ahora tienes que establecer un cambio de 1 punto porcentual (1%) en el próximo trimestre para cada una de las partidas que quieres corregir para que se acerquen a lo ideal. Lo más seguro es que tengas que aumentar GANANCIAS Y COMPENSACIÓN DEL DUEÑO.</a:t>
          </a:r>
          <a:endParaRPr sz="1100"/>
        </a:p>
        <a:p>
          <a:pPr marL="914400" lvl="1" indent="-298450" algn="just" rtl="0">
            <a:lnSpc>
              <a:spcPct val="115000"/>
            </a:lnSpc>
            <a:spcBef>
              <a:spcPts val="0"/>
            </a:spcBef>
            <a:spcAft>
              <a:spcPts val="0"/>
            </a:spcAft>
            <a:buSzPts val="1100"/>
            <a:buAutoNum type="alphaLcPeriod"/>
          </a:pPr>
          <a:r>
            <a:rPr lang="en-US" sz="1100"/>
            <a:t>Suma 1% al porcentaje que tienes actualmente en las partidas de GANANCIAS y COMPENSACIÓN DEL DUEÑO, de manera que se acerquen a lo ideal. Estos nuevos porcentajes estimados los vas a escribir en las celdas G8 y G9.</a:t>
          </a:r>
          <a:endParaRPr sz="1100"/>
        </a:p>
        <a:p>
          <a:pPr marL="914400" lvl="1" indent="-298450" algn="just" rtl="0">
            <a:lnSpc>
              <a:spcPct val="115000"/>
            </a:lnSpc>
            <a:spcBef>
              <a:spcPts val="0"/>
            </a:spcBef>
            <a:spcAft>
              <a:spcPts val="0"/>
            </a:spcAft>
            <a:buSzPts val="1100"/>
            <a:buAutoNum type="alphaLcPeriod"/>
          </a:pPr>
          <a:r>
            <a:rPr lang="en-US" sz="1100"/>
            <a:t>El porcentaje estimado para la partida de IMPUESTOS normalmente se deja igual al que ya tienes, porque es muy probable que estés pagando lo que te corresponde y no haya que cambiar nada (es decir, G10 escribirás el mismo porcentaje que obtuviste en D10)</a:t>
          </a:r>
          <a:endParaRPr sz="1100"/>
        </a:p>
        <a:p>
          <a:pPr marL="914400" lvl="1" indent="-298450" algn="just" rtl="0">
            <a:lnSpc>
              <a:spcPct val="115000"/>
            </a:lnSpc>
            <a:spcBef>
              <a:spcPts val="0"/>
            </a:spcBef>
            <a:spcAft>
              <a:spcPts val="0"/>
            </a:spcAft>
            <a:buSzPts val="1100"/>
            <a:buAutoNum type="alphaLcPeriod"/>
          </a:pPr>
          <a:r>
            <a:rPr lang="en-US" sz="1100"/>
            <a:t>En el caso de que tu negocio sea de PRODUCTOS, también puedes ajustar el porcentaje con la partida de PRODUCTOS Y PERSONAL SUBCONTRATADO si lo consideras necesario. Si sientes que el porcentaje está fuera de rango puedes subir o restar un 1% de tu porcentaje actual y poner el nuevo estimado en la celda G6. Normalmente este porcentaje de ingreso bruto para negocios minoristas de venta de productos va entre 30% y 40% dependiendo del tipo de productos. Cuanto más premium y exclusivo sean los productos, más alto es este porcentaje. Así que si estás dentro de ese rango, seguramente estará bien y lo puedes dejar igual.</a:t>
          </a:r>
          <a:endParaRPr sz="1100"/>
        </a:p>
        <a:p>
          <a:pPr marL="914400" lvl="1" indent="-298450" algn="just" rtl="0">
            <a:lnSpc>
              <a:spcPct val="115000"/>
            </a:lnSpc>
            <a:spcBef>
              <a:spcPts val="0"/>
            </a:spcBef>
            <a:spcAft>
              <a:spcPts val="0"/>
            </a:spcAft>
            <a:buSzPts val="1100"/>
            <a:buAutoNum type="alphaLcPeriod"/>
          </a:pPr>
          <a:r>
            <a:rPr lang="en-US" sz="1100"/>
            <a:t>Una vez que hayas ajustado y llenado los nuevos porcentajes explicados en el punto 4, ahora es el momento de evaluar cuánto te ha quedado el nuevo valor de GASTOS OPERACIÓN H11, y cuánto tienes que ahorrar mes a mes en el próximo trimestre.</a:t>
          </a:r>
          <a:endParaRPr sz="1100"/>
        </a:p>
        <a:p>
          <a:pPr marL="0" lvl="0" indent="0" algn="l" rtl="0">
            <a:lnSpc>
              <a:spcPct val="115000"/>
            </a:lnSpc>
            <a:spcBef>
              <a:spcPts val="0"/>
            </a:spcBef>
            <a:spcAft>
              <a:spcPts val="0"/>
            </a:spcAft>
            <a:buNone/>
          </a:pPr>
          <a:endParaRPr sz="11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152400</xdr:colOff>
      <xdr:row>0</xdr:row>
      <xdr:rowOff>152400</xdr:rowOff>
    </xdr:from>
    <xdr:ext cx="7600950" cy="5133975"/>
    <xdr:sp macro="" textlink="">
      <xdr:nvSpPr>
        <xdr:cNvPr id="10" name="Shape 10">
          <a:extLst>
            <a:ext uri="{FF2B5EF4-FFF2-40B4-BE49-F238E27FC236}">
              <a16:creationId xmlns:a16="http://schemas.microsoft.com/office/drawing/2014/main" id="{00000000-0008-0000-0E00-00000A000000}"/>
            </a:ext>
          </a:extLst>
        </xdr:cNvPr>
        <xdr:cNvSpPr txBox="1"/>
      </xdr:nvSpPr>
      <xdr:spPr>
        <a:xfrm>
          <a:off x="-30450" y="131975"/>
          <a:ext cx="7620000" cy="5116200"/>
        </a:xfrm>
        <a:prstGeom prst="rect">
          <a:avLst/>
        </a:prstGeom>
        <a:noFill/>
        <a:ln>
          <a:noFill/>
        </a:ln>
      </xdr:spPr>
      <xdr:txBody>
        <a:bodyPr spcFirstLastPara="1" wrap="square" lIns="91425" tIns="91425" rIns="91425" bIns="91425" anchor="t" anchorCtr="0">
          <a:noAutofit/>
        </a:bodyPr>
        <a:lstStyle/>
        <a:p>
          <a:pPr marL="0" lvl="0" indent="0" algn="l" rtl="0">
            <a:lnSpc>
              <a:spcPct val="115000"/>
            </a:lnSpc>
            <a:spcBef>
              <a:spcPts val="0"/>
            </a:spcBef>
            <a:spcAft>
              <a:spcPts val="0"/>
            </a:spcAft>
            <a:buNone/>
          </a:pPr>
          <a:r>
            <a:rPr lang="en-US" sz="1100" b="1"/>
            <a:t>SEMANA 5. PONTE EN ACCIÓN CON TU NUEVA ESTRATEGIA DE CONTROL DE PARTIDAS</a:t>
          </a:r>
          <a:endParaRPr sz="1100" b="1"/>
        </a:p>
        <a:p>
          <a:pPr marL="0" lvl="0" indent="0" algn="l" rtl="0">
            <a:lnSpc>
              <a:spcPct val="115000"/>
            </a:lnSpc>
            <a:spcBef>
              <a:spcPts val="0"/>
            </a:spcBef>
            <a:spcAft>
              <a:spcPts val="0"/>
            </a:spcAft>
            <a:buNone/>
          </a:pPr>
          <a:endParaRPr sz="1100" b="1"/>
        </a:p>
        <a:p>
          <a:pPr marL="0" lvl="0" indent="0" algn="just" rtl="0">
            <a:lnSpc>
              <a:spcPct val="115000"/>
            </a:lnSpc>
            <a:spcBef>
              <a:spcPts val="0"/>
            </a:spcBef>
            <a:spcAft>
              <a:spcPts val="0"/>
            </a:spcAft>
            <a:buNone/>
          </a:pPr>
          <a:r>
            <a:rPr lang="en-US" sz="1100"/>
            <a:t>OBJETIVO: Utilizar las nuevas cuentas de banco para distribuir las diferentes partidas. Esto te va a permitir ir estableciendo en la práctica las nuevas metas de distribución de partidas del próximo trimestre que estableciste la semana anterior. </a:t>
          </a:r>
          <a:endParaRPr sz="1100"/>
        </a:p>
        <a:p>
          <a:pPr marL="0" lvl="0" indent="0" algn="just" rtl="0">
            <a:lnSpc>
              <a:spcPct val="115000"/>
            </a:lnSpc>
            <a:spcBef>
              <a:spcPts val="0"/>
            </a:spcBef>
            <a:spcAft>
              <a:spcPts val="0"/>
            </a:spcAft>
            <a:buNone/>
          </a:pPr>
          <a:r>
            <a:rPr lang="en-US" sz="1100"/>
            <a:t>Cada paso que haces ahora te acercará a tu objetivo de obtener más ganancias con tu negocio.</a:t>
          </a:r>
          <a:endParaRPr sz="1100"/>
        </a:p>
        <a:p>
          <a:pPr marL="457200" lvl="0" indent="0" algn="just" rtl="0">
            <a:lnSpc>
              <a:spcPct val="115000"/>
            </a:lnSpc>
            <a:spcBef>
              <a:spcPts val="0"/>
            </a:spcBef>
            <a:spcAft>
              <a:spcPts val="0"/>
            </a:spcAft>
            <a:buNone/>
          </a:pPr>
          <a:endParaRPr sz="1100"/>
        </a:p>
        <a:p>
          <a:pPr marL="0" lvl="0" indent="0" algn="just" rtl="0">
            <a:lnSpc>
              <a:spcPct val="115000"/>
            </a:lnSpc>
            <a:spcBef>
              <a:spcPts val="0"/>
            </a:spcBef>
            <a:spcAft>
              <a:spcPts val="0"/>
            </a:spcAft>
            <a:buNone/>
          </a:pPr>
          <a:r>
            <a:rPr lang="en-US" sz="1100"/>
            <a:t>ACTIVIDADES: </a:t>
          </a:r>
          <a:endParaRPr sz="1100"/>
        </a:p>
        <a:p>
          <a:pPr marL="457200" lvl="0" indent="-298450" algn="just" rtl="0">
            <a:lnSpc>
              <a:spcPct val="115000"/>
            </a:lnSpc>
            <a:spcBef>
              <a:spcPts val="0"/>
            </a:spcBef>
            <a:spcAft>
              <a:spcPts val="0"/>
            </a:spcAft>
            <a:buSzPts val="1100"/>
            <a:buAutoNum type="arabicPeriod"/>
          </a:pPr>
          <a:r>
            <a:rPr lang="en-US" sz="1100"/>
            <a:t>ORDENA TUS CUENTAS DE BANCO:</a:t>
          </a:r>
          <a:endParaRPr sz="1100"/>
        </a:p>
        <a:p>
          <a:pPr marL="914400" lvl="1" indent="-298450" algn="just" rtl="0">
            <a:lnSpc>
              <a:spcPct val="115000"/>
            </a:lnSpc>
            <a:spcBef>
              <a:spcPts val="0"/>
            </a:spcBef>
            <a:spcAft>
              <a:spcPts val="0"/>
            </a:spcAft>
            <a:buSzPts val="1100"/>
            <a:buAutoNum type="alphaLcPeriod"/>
          </a:pPr>
          <a:r>
            <a:rPr lang="en-US" sz="1100"/>
            <a:t>La cuenta original que siempre has utilizado la vas a dejar para los gastos operativos, ya que seguramente ahí tendrás domiciliado los pagos de servicios y otros pagos. Esta cuenta la llamaremos “CUENTA 5- GASTOS OPERATIVOS”</a:t>
          </a:r>
          <a:endParaRPr sz="1100"/>
        </a:p>
        <a:p>
          <a:pPr marL="914400" lvl="1" indent="-298450" algn="just" rtl="0">
            <a:lnSpc>
              <a:spcPct val="115000"/>
            </a:lnSpc>
            <a:spcBef>
              <a:spcPts val="0"/>
            </a:spcBef>
            <a:spcAft>
              <a:spcPts val="0"/>
            </a:spcAft>
            <a:buSzPts val="1100"/>
            <a:buAutoNum type="alphaLcPeriod"/>
          </a:pPr>
          <a:r>
            <a:rPr lang="en-US" sz="1100"/>
            <a:t>Vas a dirigir los pagos de tu TPV, los pagos por transferencia de tus clientes y los depósitos que realizas del efectivo que recibes en tu negocio a una nueva cuenta. Esta nueva cuenta la llamaremos “CUENTA 1 - INGRESOS”</a:t>
          </a:r>
          <a:endParaRPr sz="1100"/>
        </a:p>
        <a:p>
          <a:pPr marL="914400" lvl="1" indent="-298450" algn="just" rtl="0">
            <a:lnSpc>
              <a:spcPct val="115000"/>
            </a:lnSpc>
            <a:spcBef>
              <a:spcPts val="0"/>
            </a:spcBef>
            <a:spcAft>
              <a:spcPts val="0"/>
            </a:spcAft>
            <a:buSzPts val="1100"/>
            <a:buAutoNum type="alphaLcPeriod"/>
          </a:pPr>
          <a:r>
            <a:rPr lang="en-US" sz="1100"/>
            <a:t>Vas a disponer de una cuenta que llamarás “CUENTA 2 - COMPENSACIÓN DEL DUEÑO” donde irás transfiriendo el porcentaje que corresponde a esta partida.</a:t>
          </a:r>
          <a:endParaRPr sz="1100"/>
        </a:p>
        <a:p>
          <a:pPr marL="914400" lvl="1" indent="-298450" algn="just" rtl="0">
            <a:lnSpc>
              <a:spcPct val="115000"/>
            </a:lnSpc>
            <a:spcBef>
              <a:spcPts val="0"/>
            </a:spcBef>
            <a:spcAft>
              <a:spcPts val="0"/>
            </a:spcAft>
            <a:buSzPts val="1100"/>
            <a:buAutoNum type="alphaLcPeriod"/>
          </a:pPr>
          <a:r>
            <a:rPr lang="en-US" sz="1100"/>
            <a:t>Vas a disponer de una cuenta que llamarás “CUENTA 3 - GANANCIA” donde irás transfiriendo el porcentaje que corresponde a esta partida.</a:t>
          </a:r>
          <a:endParaRPr sz="1100"/>
        </a:p>
        <a:p>
          <a:pPr marL="914400" lvl="1" indent="-298450" algn="just" rtl="0">
            <a:lnSpc>
              <a:spcPct val="115000"/>
            </a:lnSpc>
            <a:spcBef>
              <a:spcPts val="0"/>
            </a:spcBef>
            <a:spcAft>
              <a:spcPts val="0"/>
            </a:spcAft>
            <a:buSzPts val="1100"/>
            <a:buAutoNum type="alphaLcPeriod"/>
          </a:pPr>
          <a:r>
            <a:rPr lang="en-US" sz="1100"/>
            <a:t>Vas a disponer de una cuenta que llamarás “CUENTA 4 - IMPUESTOS” dónde irás transfiriendo el porcentaje que corresponde a esta partida.</a:t>
          </a:r>
          <a:endParaRPr sz="1100"/>
        </a:p>
        <a:p>
          <a:pPr marL="0" lvl="0" indent="0" algn="l" rtl="0">
            <a:spcBef>
              <a:spcPts val="0"/>
            </a:spcBef>
            <a:spcAft>
              <a:spcPts val="0"/>
            </a:spcAft>
            <a:buNone/>
          </a:pPr>
          <a:endParaRPr sz="1400"/>
        </a:p>
      </xdr:txBody>
    </xdr:sp>
    <xdr:clientData fLocksWithSheet="0"/>
  </xdr:oneCellAnchor>
  <xdr:oneCellAnchor>
    <xdr:from>
      <xdr:col>0</xdr:col>
      <xdr:colOff>228600</xdr:colOff>
      <xdr:row>21</xdr:row>
      <xdr:rowOff>161925</xdr:rowOff>
    </xdr:from>
    <xdr:ext cx="7448550" cy="5267325"/>
    <xdr:sp macro="" textlink="">
      <xdr:nvSpPr>
        <xdr:cNvPr id="11" name="Shape 11">
          <a:extLst>
            <a:ext uri="{FF2B5EF4-FFF2-40B4-BE49-F238E27FC236}">
              <a16:creationId xmlns:a16="http://schemas.microsoft.com/office/drawing/2014/main" id="{00000000-0008-0000-0E00-00000B000000}"/>
            </a:ext>
          </a:extLst>
        </xdr:cNvPr>
        <xdr:cNvSpPr txBox="1"/>
      </xdr:nvSpPr>
      <xdr:spPr>
        <a:xfrm>
          <a:off x="101500" y="213175"/>
          <a:ext cx="7430400" cy="5248200"/>
        </a:xfrm>
        <a:prstGeom prst="rect">
          <a:avLst/>
        </a:prstGeom>
        <a:noFill/>
        <a:ln>
          <a:noFill/>
        </a:ln>
      </xdr:spPr>
      <xdr:txBody>
        <a:bodyPr spcFirstLastPara="1" wrap="square" lIns="91425" tIns="91425" rIns="91425" bIns="91425" anchor="t" anchorCtr="0">
          <a:noAutofit/>
        </a:bodyPr>
        <a:lstStyle/>
        <a:p>
          <a:pPr marL="457200" lvl="0" indent="0" algn="just" rtl="0">
            <a:lnSpc>
              <a:spcPct val="115000"/>
            </a:lnSpc>
            <a:spcBef>
              <a:spcPts val="0"/>
            </a:spcBef>
            <a:spcAft>
              <a:spcPts val="0"/>
            </a:spcAft>
            <a:buNone/>
          </a:pPr>
          <a:endParaRPr sz="1100"/>
        </a:p>
        <a:p>
          <a:pPr marL="457200" lvl="0" indent="0" algn="just" rtl="0">
            <a:lnSpc>
              <a:spcPct val="115000"/>
            </a:lnSpc>
            <a:spcBef>
              <a:spcPts val="0"/>
            </a:spcBef>
            <a:spcAft>
              <a:spcPts val="0"/>
            </a:spcAft>
            <a:buNone/>
          </a:pPr>
          <a:r>
            <a:rPr lang="en-US" sz="1100"/>
            <a:t>2.    CALCULA Y TRANSFIERE EL DINERO A LAS DIFERENTES CUENTAS:</a:t>
          </a:r>
          <a:endParaRPr sz="1100"/>
        </a:p>
        <a:p>
          <a:pPr marL="457200" lvl="0" indent="0" algn="just" rtl="0">
            <a:lnSpc>
              <a:spcPct val="115000"/>
            </a:lnSpc>
            <a:spcBef>
              <a:spcPts val="0"/>
            </a:spcBef>
            <a:spcAft>
              <a:spcPts val="0"/>
            </a:spcAft>
            <a:buNone/>
          </a:pPr>
          <a:r>
            <a:rPr lang="en-US" sz="1100"/>
            <a:t>Una vez que hayas hecho el paso 1 (no importa el día que lo hayas hecho, puede ser el 15 del mes por ejemplo) vas a seguir los siguientes pasos:</a:t>
          </a:r>
          <a:endParaRPr sz="1100"/>
        </a:p>
        <a:p>
          <a:pPr marL="914400" lvl="0" indent="0" algn="just" rtl="0">
            <a:lnSpc>
              <a:spcPct val="115000"/>
            </a:lnSpc>
            <a:spcBef>
              <a:spcPts val="0"/>
            </a:spcBef>
            <a:spcAft>
              <a:spcPts val="0"/>
            </a:spcAft>
            <a:buNone/>
          </a:pPr>
          <a:endParaRPr sz="1100"/>
        </a:p>
        <a:p>
          <a:pPr marL="914400" lvl="0" indent="0" algn="just" rtl="0">
            <a:lnSpc>
              <a:spcPct val="115000"/>
            </a:lnSpc>
            <a:spcBef>
              <a:spcPts val="0"/>
            </a:spcBef>
            <a:spcAft>
              <a:spcPts val="0"/>
            </a:spcAft>
            <a:buNone/>
          </a:pPr>
          <a:r>
            <a:rPr lang="en-US" sz="1100"/>
            <a:t>a. EL PRÓXIMO DÍA 1 DEL SIGUIENTE MES (en este caso será el 1 de Enero), vas a verificar cuánto dinero tienes en la cuenta de ingresos.</a:t>
          </a:r>
          <a:endParaRPr sz="1100"/>
        </a:p>
        <a:p>
          <a:pPr marL="914400" lvl="0" indent="0" algn="just" rtl="0">
            <a:lnSpc>
              <a:spcPct val="115000"/>
            </a:lnSpc>
            <a:spcBef>
              <a:spcPts val="0"/>
            </a:spcBef>
            <a:spcAft>
              <a:spcPts val="0"/>
            </a:spcAft>
            <a:buNone/>
          </a:pPr>
          <a:r>
            <a:rPr lang="en-US" sz="1100"/>
            <a:t>b. Vas a ir a la pestaña “5 METAS DE DISTRIBUCIÓN…” que te corresponda, dependiendo si tu negocio es de productos (30% o más en gastos en compra de productos para vender y personal subcontratado) o de servicios (29% o menos en gastos en compra de productos para vender y personal subcontratado).</a:t>
          </a:r>
          <a:endParaRPr sz="1100"/>
        </a:p>
        <a:p>
          <a:pPr marL="914400" lvl="0" indent="0" algn="just" rtl="0">
            <a:lnSpc>
              <a:spcPct val="115000"/>
            </a:lnSpc>
            <a:spcBef>
              <a:spcPts val="0"/>
            </a:spcBef>
            <a:spcAft>
              <a:spcPts val="0"/>
            </a:spcAft>
            <a:buNone/>
          </a:pPr>
          <a:r>
            <a:rPr lang="en-US" sz="1100"/>
            <a:t>c. Vas a escribir en la celda de INGRESOS (H5) la cantidad de dinero que tienes en la cuenta ese día 1 de mes.</a:t>
          </a:r>
          <a:endParaRPr sz="1100"/>
        </a:p>
        <a:p>
          <a:pPr marL="914400" lvl="0" indent="0" algn="just" rtl="0">
            <a:lnSpc>
              <a:spcPct val="115000"/>
            </a:lnSpc>
            <a:spcBef>
              <a:spcPts val="0"/>
            </a:spcBef>
            <a:spcAft>
              <a:spcPts val="0"/>
            </a:spcAft>
            <a:buNone/>
          </a:pPr>
          <a:endParaRPr sz="1400"/>
        </a:p>
      </xdr:txBody>
    </xdr:sp>
    <xdr:clientData fLocksWithSheet="0"/>
  </xdr:oneCellAnchor>
  <xdr:oneCellAnchor>
    <xdr:from>
      <xdr:col>0</xdr:col>
      <xdr:colOff>200025</xdr:colOff>
      <xdr:row>34</xdr:row>
      <xdr:rowOff>95250</xdr:rowOff>
    </xdr:from>
    <xdr:ext cx="7515225" cy="5210175"/>
    <xdr:sp macro="" textlink="">
      <xdr:nvSpPr>
        <xdr:cNvPr id="12" name="Shape 12">
          <a:extLst>
            <a:ext uri="{FF2B5EF4-FFF2-40B4-BE49-F238E27FC236}">
              <a16:creationId xmlns:a16="http://schemas.microsoft.com/office/drawing/2014/main" id="{00000000-0008-0000-0E00-00000C000000}"/>
            </a:ext>
          </a:extLst>
        </xdr:cNvPr>
        <xdr:cNvSpPr txBox="1"/>
      </xdr:nvSpPr>
      <xdr:spPr>
        <a:xfrm>
          <a:off x="111650" y="182725"/>
          <a:ext cx="7508400" cy="5187300"/>
        </a:xfrm>
        <a:prstGeom prst="rect">
          <a:avLst/>
        </a:prstGeom>
        <a:noFill/>
        <a:ln>
          <a:noFill/>
        </a:ln>
      </xdr:spPr>
      <xdr:txBody>
        <a:bodyPr spcFirstLastPara="1" wrap="square" lIns="91425" tIns="91425" rIns="91425" bIns="91425" anchor="t" anchorCtr="0">
          <a:noAutofit/>
        </a:bodyPr>
        <a:lstStyle/>
        <a:p>
          <a:pPr marL="914400" lvl="0" indent="0" algn="just" rtl="0">
            <a:lnSpc>
              <a:spcPct val="115000"/>
            </a:lnSpc>
            <a:spcBef>
              <a:spcPts val="0"/>
            </a:spcBef>
            <a:spcAft>
              <a:spcPts val="0"/>
            </a:spcAft>
            <a:buNone/>
          </a:pPr>
          <a:r>
            <a:rPr lang="en-US" sz="1100"/>
            <a:t>d. Y como ya tenías escrito los nuevos porcentajes de distribución que quieres alcanzar en el primer trimestre, al escribir la cantidad de dinero de INGRESO en H5, vas a obtener (y anotar) los valores de las siguientes celdas:</a:t>
          </a:r>
          <a:endParaRPr sz="1100"/>
        </a:p>
        <a:p>
          <a:pPr marL="1371600" lvl="2" indent="-298450" algn="just" rtl="0">
            <a:lnSpc>
              <a:spcPct val="115000"/>
            </a:lnSpc>
            <a:spcBef>
              <a:spcPts val="0"/>
            </a:spcBef>
            <a:spcAft>
              <a:spcPts val="0"/>
            </a:spcAft>
            <a:buSzPts val="1100"/>
            <a:buAutoNum type="romanLcPeriod"/>
          </a:pPr>
          <a:r>
            <a:rPr lang="en-US" sz="1100"/>
            <a:t>(H6) PRODUCTOS Y PERSONAL SUBCONTRATADO (para negocios de servicio esto es CERO):</a:t>
          </a:r>
          <a:endParaRPr sz="1100"/>
        </a:p>
        <a:p>
          <a:pPr marL="1371600" lvl="2" indent="-298450" algn="just" rtl="0">
            <a:lnSpc>
              <a:spcPct val="115000"/>
            </a:lnSpc>
            <a:spcBef>
              <a:spcPts val="0"/>
            </a:spcBef>
            <a:spcAft>
              <a:spcPts val="0"/>
            </a:spcAft>
            <a:buSzPts val="1100"/>
            <a:buAutoNum type="romanLcPeriod"/>
          </a:pPr>
          <a:r>
            <a:rPr lang="en-US" sz="1100"/>
            <a:t>(H8) GANANCIA:</a:t>
          </a:r>
          <a:endParaRPr sz="1100"/>
        </a:p>
        <a:p>
          <a:pPr marL="1371600" lvl="2" indent="-298450" algn="just" rtl="0">
            <a:lnSpc>
              <a:spcPct val="115000"/>
            </a:lnSpc>
            <a:spcBef>
              <a:spcPts val="0"/>
            </a:spcBef>
            <a:spcAft>
              <a:spcPts val="0"/>
            </a:spcAft>
            <a:buSzPts val="1100"/>
            <a:buAutoNum type="romanLcPeriod"/>
          </a:pPr>
          <a:r>
            <a:rPr lang="en-US" sz="1100"/>
            <a:t>(H9) COMPENSACIÓN DEL DUEÑO:</a:t>
          </a:r>
          <a:endParaRPr sz="1100"/>
        </a:p>
        <a:p>
          <a:pPr marL="1371600" lvl="2" indent="-298450" algn="just" rtl="0">
            <a:lnSpc>
              <a:spcPct val="115000"/>
            </a:lnSpc>
            <a:spcBef>
              <a:spcPts val="0"/>
            </a:spcBef>
            <a:spcAft>
              <a:spcPts val="0"/>
            </a:spcAft>
            <a:buSzPts val="1100"/>
            <a:buAutoNum type="romanLcPeriod"/>
          </a:pPr>
          <a:r>
            <a:rPr lang="en-US" sz="1100"/>
            <a:t>(H10) IMPUESTOS:</a:t>
          </a:r>
          <a:endParaRPr sz="1100"/>
        </a:p>
        <a:p>
          <a:pPr marL="1371600" lvl="2" indent="-298450" algn="just" rtl="0">
            <a:lnSpc>
              <a:spcPct val="115000"/>
            </a:lnSpc>
            <a:spcBef>
              <a:spcPts val="0"/>
            </a:spcBef>
            <a:spcAft>
              <a:spcPts val="0"/>
            </a:spcAft>
            <a:buSzPts val="1100"/>
            <a:buAutoNum type="romanLcPeriod"/>
          </a:pPr>
          <a:r>
            <a:rPr lang="en-US" sz="1100"/>
            <a:t>(H11) GASTOS OPERACIÓN:</a:t>
          </a:r>
          <a:endParaRPr sz="1100"/>
        </a:p>
        <a:p>
          <a:pPr marL="914400" lvl="0" indent="0" algn="just" rtl="0">
            <a:lnSpc>
              <a:spcPct val="115000"/>
            </a:lnSpc>
            <a:spcBef>
              <a:spcPts val="0"/>
            </a:spcBef>
            <a:spcAft>
              <a:spcPts val="0"/>
            </a:spcAft>
            <a:buNone/>
          </a:pPr>
          <a:r>
            <a:rPr lang="en-US" sz="1100"/>
            <a:t>e. El siguiente paso es transferir las cantidades de dinero obtenidas para cada partida a la cuenta de banco que le corresponde:</a:t>
          </a:r>
          <a:endParaRPr sz="1100"/>
        </a:p>
        <a:p>
          <a:pPr marL="1371600" lvl="2" indent="-298450" algn="just" rtl="0">
            <a:lnSpc>
              <a:spcPct val="115000"/>
            </a:lnSpc>
            <a:spcBef>
              <a:spcPts val="0"/>
            </a:spcBef>
            <a:spcAft>
              <a:spcPts val="0"/>
            </a:spcAft>
            <a:buSzPts val="1100"/>
            <a:buAutoNum type="romanLcPeriod"/>
          </a:pPr>
          <a:r>
            <a:rPr lang="en-US" sz="1100" b="1"/>
            <a:t>CUENTA 5:</a:t>
          </a:r>
          <a:r>
            <a:rPr lang="en-US" sz="1100"/>
            <a:t> (H6) PRODUCTOS Y PERSONAL SUBCONTRATADO</a:t>
          </a:r>
          <a:endParaRPr sz="1100"/>
        </a:p>
        <a:p>
          <a:pPr marL="1371600" lvl="2" indent="-298450" algn="just" rtl="0">
            <a:lnSpc>
              <a:spcPct val="115000"/>
            </a:lnSpc>
            <a:spcBef>
              <a:spcPts val="0"/>
            </a:spcBef>
            <a:spcAft>
              <a:spcPts val="0"/>
            </a:spcAft>
            <a:buSzPts val="1100"/>
            <a:buAutoNum type="romanLcPeriod"/>
          </a:pPr>
          <a:r>
            <a:rPr lang="en-US" sz="1100" b="1"/>
            <a:t>CUENTA 3:</a:t>
          </a:r>
          <a:r>
            <a:rPr lang="en-US" sz="1100"/>
            <a:t> (H8) GANANCIA</a:t>
          </a:r>
          <a:endParaRPr sz="1100"/>
        </a:p>
        <a:p>
          <a:pPr marL="1371600" lvl="2" indent="-298450" algn="just" rtl="0">
            <a:lnSpc>
              <a:spcPct val="115000"/>
            </a:lnSpc>
            <a:spcBef>
              <a:spcPts val="0"/>
            </a:spcBef>
            <a:spcAft>
              <a:spcPts val="0"/>
            </a:spcAft>
            <a:buSzPts val="1100"/>
            <a:buAutoNum type="romanLcPeriod"/>
          </a:pPr>
          <a:r>
            <a:rPr lang="en-US" sz="1100" b="1"/>
            <a:t>CUENTA 2:</a:t>
          </a:r>
          <a:r>
            <a:rPr lang="en-US" sz="1100"/>
            <a:t> (H9) COMPENSACIÓN DEL DUEÑO</a:t>
          </a:r>
          <a:endParaRPr sz="1100"/>
        </a:p>
        <a:p>
          <a:pPr marL="1371600" lvl="2" indent="-298450" algn="just" rtl="0">
            <a:lnSpc>
              <a:spcPct val="115000"/>
            </a:lnSpc>
            <a:spcBef>
              <a:spcPts val="0"/>
            </a:spcBef>
            <a:spcAft>
              <a:spcPts val="0"/>
            </a:spcAft>
            <a:buSzPts val="1100"/>
            <a:buAutoNum type="romanLcPeriod"/>
          </a:pPr>
          <a:r>
            <a:rPr lang="en-US" sz="1100" b="1"/>
            <a:t>CUENTA 4:</a:t>
          </a:r>
          <a:r>
            <a:rPr lang="en-US" sz="1100"/>
            <a:t> (H10) IMPUESTOS</a:t>
          </a:r>
          <a:endParaRPr sz="1100"/>
        </a:p>
        <a:p>
          <a:pPr marL="1371600" lvl="2" indent="-298450" algn="just" rtl="0">
            <a:lnSpc>
              <a:spcPct val="115000"/>
            </a:lnSpc>
            <a:spcBef>
              <a:spcPts val="0"/>
            </a:spcBef>
            <a:spcAft>
              <a:spcPts val="0"/>
            </a:spcAft>
            <a:buSzPts val="1100"/>
            <a:buAutoNum type="romanLcPeriod"/>
          </a:pPr>
          <a:r>
            <a:rPr lang="en-US" sz="1100" b="1"/>
            <a:t>CUENTA 5:</a:t>
          </a:r>
          <a:r>
            <a:rPr lang="en-US" sz="1100"/>
            <a:t> (H1)1 GASTOS OPERACIÓN</a:t>
          </a:r>
          <a:endParaRPr sz="1100"/>
        </a:p>
        <a:p>
          <a:pPr marL="914400" lvl="0" indent="0" algn="just" rtl="0">
            <a:lnSpc>
              <a:spcPct val="115000"/>
            </a:lnSpc>
            <a:spcBef>
              <a:spcPts val="0"/>
            </a:spcBef>
            <a:spcAft>
              <a:spcPts val="0"/>
            </a:spcAft>
            <a:buNone/>
          </a:pPr>
          <a:r>
            <a:rPr lang="en-US" sz="1100"/>
            <a:t>f. Si lo consideras necesario, puedes separar la CUENTA 5 en dos cuentas, una para tener el dinero de GASTOS OPERACIÓN y una cuenta adicional  CUENTA 6 para el dinero correspondiente a PRODUCTOS Y PERSONAL SUBCONTRATADO.</a:t>
          </a:r>
          <a:endParaRPr sz="1100"/>
        </a:p>
        <a:p>
          <a:pPr marL="914400" lvl="0" indent="0" algn="just" rtl="0">
            <a:lnSpc>
              <a:spcPct val="115000"/>
            </a:lnSpc>
            <a:spcBef>
              <a:spcPts val="0"/>
            </a:spcBef>
            <a:spcAft>
              <a:spcPts val="0"/>
            </a:spcAft>
            <a:buNone/>
          </a:pPr>
          <a:r>
            <a:rPr lang="en-US" sz="1100"/>
            <a:t>g. Los pasos desde el “a” hasta el “e” los vas a repetir dos veces cada mes, los días 1 y 15 de cada mes. Lo que quiere decir que cada día 1 y 15 la cuenta de ingresos quedará vacía ya que el dinero estará distribuido en las siguientes cuentas.</a:t>
          </a:r>
          <a:endParaRPr sz="1100"/>
        </a:p>
        <a:p>
          <a:pPr marL="0" lvl="0" indent="0" algn="l" rtl="0">
            <a:spcBef>
              <a:spcPts val="0"/>
            </a:spcBef>
            <a:spcAft>
              <a:spcPts val="0"/>
            </a:spcAft>
            <a:buNone/>
          </a:pPr>
          <a:endParaRPr sz="1400"/>
        </a:p>
      </xdr:txBody>
    </xdr:sp>
    <xdr:clientData fLocksWithSheet="0"/>
  </xdr:oneCellAnchor>
  <xdr:oneCellAnchor>
    <xdr:from>
      <xdr:col>0</xdr:col>
      <xdr:colOff>152400</xdr:colOff>
      <xdr:row>57</xdr:row>
      <xdr:rowOff>9525</xdr:rowOff>
    </xdr:from>
    <xdr:ext cx="7620000" cy="5019675"/>
    <xdr:sp macro="" textlink="">
      <xdr:nvSpPr>
        <xdr:cNvPr id="13" name="Shape 13">
          <a:extLst>
            <a:ext uri="{FF2B5EF4-FFF2-40B4-BE49-F238E27FC236}">
              <a16:creationId xmlns:a16="http://schemas.microsoft.com/office/drawing/2014/main" id="{00000000-0008-0000-0E00-00000D000000}"/>
            </a:ext>
          </a:extLst>
        </xdr:cNvPr>
        <xdr:cNvSpPr txBox="1"/>
      </xdr:nvSpPr>
      <xdr:spPr>
        <a:xfrm>
          <a:off x="10150" y="152275"/>
          <a:ext cx="7609800" cy="5004300"/>
        </a:xfrm>
        <a:prstGeom prst="rect">
          <a:avLst/>
        </a:prstGeom>
        <a:noFill/>
        <a:ln>
          <a:noFill/>
        </a:ln>
      </xdr:spPr>
      <xdr:txBody>
        <a:bodyPr spcFirstLastPara="1" wrap="square" lIns="91425" tIns="91425" rIns="91425" bIns="91425" anchor="t" anchorCtr="0">
          <a:noAutofit/>
        </a:bodyPr>
        <a:lstStyle/>
        <a:p>
          <a:pPr marL="0" lvl="0" indent="0" algn="l" rtl="0">
            <a:lnSpc>
              <a:spcPct val="115000"/>
            </a:lnSpc>
            <a:spcBef>
              <a:spcPts val="0"/>
            </a:spcBef>
            <a:spcAft>
              <a:spcPts val="0"/>
            </a:spcAft>
            <a:buNone/>
          </a:pPr>
          <a:r>
            <a:rPr lang="en-US" sz="1100" b="1"/>
            <a:t>NOTAS IMPORTANTES:</a:t>
          </a:r>
          <a:endParaRPr sz="1100" b="1"/>
        </a:p>
        <a:p>
          <a:pPr marL="0" lvl="0" indent="457200" algn="l" rtl="0">
            <a:lnSpc>
              <a:spcPct val="115000"/>
            </a:lnSpc>
            <a:spcBef>
              <a:spcPts val="0"/>
            </a:spcBef>
            <a:spcAft>
              <a:spcPts val="0"/>
            </a:spcAft>
            <a:buNone/>
          </a:pPr>
          <a:r>
            <a:rPr lang="en-US" sz="1100"/>
            <a:t>La cuenta de GASTOS nunca estará en cero, ya que hay pagos que se hacen una vez al</a:t>
          </a:r>
          <a:endParaRPr sz="1100"/>
        </a:p>
        <a:p>
          <a:pPr marL="0" lvl="0" indent="457200" algn="l" rtl="0">
            <a:lnSpc>
              <a:spcPct val="115000"/>
            </a:lnSpc>
            <a:spcBef>
              <a:spcPts val="0"/>
            </a:spcBef>
            <a:spcAft>
              <a:spcPts val="0"/>
            </a:spcAft>
            <a:buNone/>
          </a:pPr>
          <a:r>
            <a:rPr lang="en-US" sz="1100"/>
            <a:t>año. El dinero que tienes en esa cuenta NO se puede tocar.</a:t>
          </a:r>
          <a:endParaRPr sz="1100"/>
        </a:p>
        <a:p>
          <a:pPr marL="457200" lvl="0" indent="0" algn="l" rtl="0">
            <a:lnSpc>
              <a:spcPct val="115000"/>
            </a:lnSpc>
            <a:spcBef>
              <a:spcPts val="0"/>
            </a:spcBef>
            <a:spcAft>
              <a:spcPts val="0"/>
            </a:spcAft>
            <a:buNone/>
          </a:pPr>
          <a:r>
            <a:rPr lang="en-US" sz="1100"/>
            <a:t>La cuenta de IMPUESTOS, tampoco la puedes tocar, será para pagar los trimestre y el IRPF.</a:t>
          </a:r>
          <a:endParaRPr sz="1100"/>
        </a:p>
        <a:p>
          <a:pPr marL="457200" lvl="0" indent="0" algn="l" rtl="0">
            <a:lnSpc>
              <a:spcPct val="115000"/>
            </a:lnSpc>
            <a:spcBef>
              <a:spcPts val="0"/>
            </a:spcBef>
            <a:spcAft>
              <a:spcPts val="0"/>
            </a:spcAft>
            <a:buNone/>
          </a:pPr>
          <a:r>
            <a:rPr lang="en-US" sz="1100"/>
            <a:t>La cuenta de GANANCIAS es la que vas a utilizar para:</a:t>
          </a:r>
          <a:endParaRPr sz="1100"/>
        </a:p>
        <a:p>
          <a:pPr marL="914400" lvl="0" indent="-298450" algn="l" rtl="0">
            <a:lnSpc>
              <a:spcPct val="115000"/>
            </a:lnSpc>
            <a:spcBef>
              <a:spcPts val="0"/>
            </a:spcBef>
            <a:spcAft>
              <a:spcPts val="0"/>
            </a:spcAft>
            <a:buSzPts val="1100"/>
            <a:buChar char="●"/>
          </a:pPr>
          <a:r>
            <a:rPr lang="en-US" sz="1100"/>
            <a:t>PRIMERO: Para pagar los </a:t>
          </a:r>
          <a:r>
            <a:rPr lang="en-US" sz="1100" b="1"/>
            <a:t>préstamos</a:t>
          </a:r>
          <a:r>
            <a:rPr lang="en-US" sz="1100"/>
            <a:t> relativos a tu negocio. Las cuotas mensuales de ese préstamo salen de los gastos operativos, pero al final del año, de la cuenta de GANANCIAS se reservará un 99% para ir liquidando el préstamo y un 1% para que reconozcas y celebres tus ganancias. Esto lo harás hasta liquidar todas tus deudas.</a:t>
          </a:r>
          <a:endParaRPr sz="1100"/>
        </a:p>
        <a:p>
          <a:pPr marL="914400" lvl="0" indent="-298450" algn="l" rtl="0">
            <a:lnSpc>
              <a:spcPct val="115000"/>
            </a:lnSpc>
            <a:spcBef>
              <a:spcPts val="0"/>
            </a:spcBef>
            <a:spcAft>
              <a:spcPts val="0"/>
            </a:spcAft>
            <a:buSzPts val="1100"/>
            <a:buChar char="●"/>
          </a:pPr>
          <a:r>
            <a:rPr lang="en-US" sz="1100"/>
            <a:t>SEGUNDO: Para construir un </a:t>
          </a:r>
          <a:r>
            <a:rPr lang="en-US" sz="1100" b="1"/>
            <a:t>colchón financiero</a:t>
          </a:r>
          <a:r>
            <a:rPr lang="en-US" sz="1100"/>
            <a:t>. La cantidad de dinero ideal de ese colchón financiero es lo equivalente a 3 meses de costos. Para esto seguirás guardando el 99% del dinero de esa cuenta y solo tomarás el 1% para celebrar tus ganancias. Esto hasta llegar a acumular el dinero para cubrir 3 meses de costos.</a:t>
          </a:r>
          <a:endParaRPr sz="1100"/>
        </a:p>
        <a:p>
          <a:pPr marL="914400" lvl="0" indent="-298450" algn="l" rtl="0">
            <a:lnSpc>
              <a:spcPct val="115000"/>
            </a:lnSpc>
            <a:spcBef>
              <a:spcPts val="0"/>
            </a:spcBef>
            <a:spcAft>
              <a:spcPts val="0"/>
            </a:spcAft>
            <a:buSzPts val="1100"/>
            <a:buChar char="●"/>
          </a:pPr>
          <a:r>
            <a:rPr lang="en-US" sz="1100"/>
            <a:t>TERCERO: Para </a:t>
          </a:r>
          <a:r>
            <a:rPr lang="en-US" sz="1100" b="1"/>
            <a:t>invertir en tu negocio</a:t>
          </a:r>
          <a:r>
            <a:rPr lang="en-US" sz="1100"/>
            <a:t>. Comprar un equipo o hacer mejoras en tu local. Una inversión es adquirir algo con el objetivo de facturar más.</a:t>
          </a:r>
          <a:endParaRPr sz="1100"/>
        </a:p>
        <a:p>
          <a:pPr marL="914400" lvl="0" indent="-298450" algn="l" rtl="0">
            <a:lnSpc>
              <a:spcPct val="115000"/>
            </a:lnSpc>
            <a:spcBef>
              <a:spcPts val="0"/>
            </a:spcBef>
            <a:spcAft>
              <a:spcPts val="0"/>
            </a:spcAft>
            <a:buSzPts val="1100"/>
            <a:buChar char="●"/>
          </a:pPr>
          <a:r>
            <a:rPr lang="en-US" sz="1100"/>
            <a:t>CUARTO: Si no tienes préstamos, ya has alcanzado el colchón de 3 meses y no necesitas re-invertir, entonces puedes </a:t>
          </a:r>
          <a:r>
            <a:rPr lang="en-US" sz="1100" b="1"/>
            <a:t>distribuir las ganancias.</a:t>
          </a:r>
          <a:r>
            <a:rPr lang="en-US" sz="1100"/>
            <a:t> Si tu eres el único dueño, el 100% será para ti. Si tienes otros inversionistas o socios en el negocio, entonces repetirás las ganancias en función del capital que cada uno haya invertido.</a:t>
          </a:r>
          <a:endParaRPr sz="1100"/>
        </a:p>
        <a:p>
          <a:pPr marL="457200" lvl="0" indent="0" algn="l" rtl="0">
            <a:lnSpc>
              <a:spcPct val="115000"/>
            </a:lnSpc>
            <a:spcBef>
              <a:spcPts val="0"/>
            </a:spcBef>
            <a:spcAft>
              <a:spcPts val="0"/>
            </a:spcAft>
            <a:buNone/>
          </a:pPr>
          <a:r>
            <a:rPr lang="en-US" sz="1100"/>
            <a:t>La revisión de la cuenta de GANANCIAS se hace cada 3 meses.</a:t>
          </a:r>
          <a:endParaRPr sz="1100"/>
        </a:p>
        <a:p>
          <a:pPr marL="0" lvl="0" indent="0" algn="l" rtl="0">
            <a:spcBef>
              <a:spcPts val="0"/>
            </a:spcBef>
            <a:spcAft>
              <a:spcPts val="0"/>
            </a:spcAft>
            <a:buNone/>
          </a:pP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161925</xdr:colOff>
      <xdr:row>0</xdr:row>
      <xdr:rowOff>104775</xdr:rowOff>
    </xdr:from>
    <xdr:ext cx="7553325" cy="4371975"/>
    <xdr:sp macro="" textlink="">
      <xdr:nvSpPr>
        <xdr:cNvPr id="14" name="Shape 14">
          <a:extLst>
            <a:ext uri="{FF2B5EF4-FFF2-40B4-BE49-F238E27FC236}">
              <a16:creationId xmlns:a16="http://schemas.microsoft.com/office/drawing/2014/main" id="{00000000-0008-0000-0F00-00000E000000}"/>
            </a:ext>
          </a:extLst>
        </xdr:cNvPr>
        <xdr:cNvSpPr txBox="1"/>
      </xdr:nvSpPr>
      <xdr:spPr>
        <a:xfrm>
          <a:off x="20300" y="192875"/>
          <a:ext cx="7532100" cy="4354800"/>
        </a:xfrm>
        <a:prstGeom prst="rect">
          <a:avLst/>
        </a:prstGeom>
        <a:noFill/>
        <a:ln>
          <a:noFill/>
        </a:ln>
      </xdr:spPr>
      <xdr:txBody>
        <a:bodyPr spcFirstLastPara="1" wrap="square" lIns="91425" tIns="91425" rIns="91425" bIns="91425" anchor="t" anchorCtr="0">
          <a:noAutofit/>
        </a:bodyPr>
        <a:lstStyle/>
        <a:p>
          <a:pPr marL="0" lvl="0" indent="0" algn="l" rtl="0">
            <a:lnSpc>
              <a:spcPct val="115000"/>
            </a:lnSpc>
            <a:spcBef>
              <a:spcPts val="0"/>
            </a:spcBef>
            <a:spcAft>
              <a:spcPts val="0"/>
            </a:spcAft>
            <a:buNone/>
          </a:pPr>
          <a:r>
            <a:rPr lang="en-US" sz="1100" b="1"/>
            <a:t>SEMANA 6. IDENTIFICA POSIBLES ESTRATEGIAS DE REDUCCIÓN DE COSTOS</a:t>
          </a:r>
          <a:r>
            <a:rPr lang="en-US" sz="1100"/>
            <a:t> </a:t>
          </a:r>
          <a:r>
            <a:rPr lang="en-US" sz="1100" b="1"/>
            <a:t>Y SU PLAN DE ACCIÓN</a:t>
          </a:r>
          <a:endParaRPr sz="1100" b="1"/>
        </a:p>
        <a:p>
          <a:pPr marL="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OBJETIVO: Examinar TODOS los gastos operativos e identificar al menos tres áreas donde pueda reducir costos de manera efectiva. Elaborar un plan de acción detallado que incluya pasos específicos para implementar las estrategias de reducción de costos identificadas.</a:t>
          </a:r>
          <a:endParaRPr sz="1100"/>
        </a:p>
        <a:p>
          <a:pPr marL="0" lvl="0" indent="0" algn="l" rtl="0">
            <a:lnSpc>
              <a:spcPct val="115000"/>
            </a:lnSpc>
            <a:spcBef>
              <a:spcPts val="0"/>
            </a:spcBef>
            <a:spcAft>
              <a:spcPts val="0"/>
            </a:spcAft>
            <a:buNone/>
          </a:pPr>
          <a:endParaRPr sz="1100"/>
        </a:p>
        <a:p>
          <a:pPr marL="0" lvl="0" indent="457200" algn="l" rtl="0">
            <a:lnSpc>
              <a:spcPct val="115000"/>
            </a:lnSpc>
            <a:spcBef>
              <a:spcPts val="0"/>
            </a:spcBef>
            <a:spcAft>
              <a:spcPts val="0"/>
            </a:spcAft>
            <a:buNone/>
          </a:pPr>
          <a:r>
            <a:rPr lang="en-US" sz="1100"/>
            <a:t>ACTIVIDADES:</a:t>
          </a:r>
          <a:endParaRPr sz="1100"/>
        </a:p>
        <a:p>
          <a:pPr marL="0" lvl="0" indent="45720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DETERMINA LOS GASTOS QUE PUEDES REDUCIR Y QUE VAN A TENER UN IMPACTO EN TU NEGOCIO:</a:t>
          </a:r>
          <a:endParaRPr sz="1100"/>
        </a:p>
        <a:p>
          <a:pPr marL="914400" lvl="0" indent="-298450" algn="l" rtl="0">
            <a:lnSpc>
              <a:spcPct val="115000"/>
            </a:lnSpc>
            <a:spcBef>
              <a:spcPts val="0"/>
            </a:spcBef>
            <a:spcAft>
              <a:spcPts val="0"/>
            </a:spcAft>
            <a:buSzPts val="1100"/>
            <a:buAutoNum type="arabicPeriod"/>
          </a:pPr>
          <a:r>
            <a:rPr lang="en-US" sz="1100"/>
            <a:t>Ve a la pestaña 6 REDUCCIÓN DE GASTOS e identifica los 5 gastos que representan el porcentaje más alto del total.</a:t>
          </a:r>
          <a:endParaRPr sz="1100"/>
        </a:p>
        <a:p>
          <a:pPr marL="914400" lvl="0" indent="-298450" algn="l" rtl="0">
            <a:lnSpc>
              <a:spcPct val="115000"/>
            </a:lnSpc>
            <a:spcBef>
              <a:spcPts val="0"/>
            </a:spcBef>
            <a:spcAft>
              <a:spcPts val="0"/>
            </a:spcAft>
            <a:buSzPts val="1100"/>
            <a:buAutoNum type="arabicPeriod"/>
          </a:pPr>
          <a:r>
            <a:rPr lang="en-US" sz="1100"/>
            <a:t>Determina para esos 5 gastos si es factible que se puedan ELIMINAR, SUSTITUIR O RENEGOCIAR y escoge la opción en la tabla.</a:t>
          </a:r>
          <a:endParaRPr sz="1100"/>
        </a:p>
        <a:p>
          <a:pPr marL="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DEFINE LAS ESTRATEGIAS DE REDUCCIÓN DE GASTOS QUE VAS A APLICAR Y COLOCA LAS ACCIONES EN TU AGENDA:</a:t>
          </a:r>
          <a:endParaRPr sz="1100"/>
        </a:p>
        <a:p>
          <a:pPr marL="914400" lvl="0" indent="-298450" algn="l" rtl="0">
            <a:lnSpc>
              <a:spcPct val="115000"/>
            </a:lnSpc>
            <a:spcBef>
              <a:spcPts val="0"/>
            </a:spcBef>
            <a:spcAft>
              <a:spcPts val="0"/>
            </a:spcAft>
            <a:buSzPts val="1100"/>
            <a:buAutoNum type="arabicPeriod"/>
          </a:pPr>
          <a:r>
            <a:rPr lang="en-US" sz="1100"/>
            <a:t>Ve al archivo ESTRATEGIAS Y PLAN DE REDUCCIÓN DE GASTOS y selecciona las estrategias de reducción de costos más viables para su negocio, como la renegociación de contratos, la búsqueda de proveedores más económicos, la automatización de procesos y la optimización de la programación del personal.</a:t>
          </a:r>
          <a:endParaRPr sz="1100"/>
        </a:p>
        <a:p>
          <a:pPr marL="914400" lvl="0" indent="-298450" algn="l" rtl="0">
            <a:lnSpc>
              <a:spcPct val="115000"/>
            </a:lnSpc>
            <a:spcBef>
              <a:spcPts val="0"/>
            </a:spcBef>
            <a:spcAft>
              <a:spcPts val="0"/>
            </a:spcAft>
            <a:buSzPts val="1100"/>
            <a:buAutoNum type="arabicPeriod"/>
          </a:pPr>
          <a:r>
            <a:rPr lang="en-US" sz="1100"/>
            <a:t>Llena el cuadro “Plan de Reducción de Costos” que está al final del archivo.</a:t>
          </a:r>
          <a:endParaRPr sz="11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266700</xdr:colOff>
      <xdr:row>0</xdr:row>
      <xdr:rowOff>95250</xdr:rowOff>
    </xdr:from>
    <xdr:ext cx="7524750" cy="4953000"/>
    <xdr:sp macro="" textlink="">
      <xdr:nvSpPr>
        <xdr:cNvPr id="15" name="Shape 15">
          <a:extLst>
            <a:ext uri="{FF2B5EF4-FFF2-40B4-BE49-F238E27FC236}">
              <a16:creationId xmlns:a16="http://schemas.microsoft.com/office/drawing/2014/main" id="{00000000-0008-0000-1100-00000F000000}"/>
            </a:ext>
          </a:extLst>
        </xdr:cNvPr>
        <xdr:cNvSpPr txBox="1"/>
      </xdr:nvSpPr>
      <xdr:spPr>
        <a:xfrm>
          <a:off x="40600" y="162425"/>
          <a:ext cx="7501500" cy="4781100"/>
        </a:xfrm>
        <a:prstGeom prst="rect">
          <a:avLst/>
        </a:prstGeom>
        <a:noFill/>
        <a:ln>
          <a:noFill/>
        </a:ln>
      </xdr:spPr>
      <xdr:txBody>
        <a:bodyPr spcFirstLastPara="1" wrap="square" lIns="91425" tIns="91425" rIns="91425" bIns="91425" anchor="t" anchorCtr="0">
          <a:noAutofit/>
        </a:bodyPr>
        <a:lstStyle/>
        <a:p>
          <a:pPr marL="0" lvl="0" indent="0" algn="l" rtl="0">
            <a:lnSpc>
              <a:spcPct val="115000"/>
            </a:lnSpc>
            <a:spcBef>
              <a:spcPts val="0"/>
            </a:spcBef>
            <a:spcAft>
              <a:spcPts val="0"/>
            </a:spcAft>
            <a:buNone/>
          </a:pPr>
          <a:r>
            <a:rPr lang="en-US" sz="1100" b="1"/>
            <a:t>SEMANA 7. REPASAMOS LO APRENDIDO EN EL MÁSTER: ¿CUANTO TENGO QUE VENDER AL DÍA? Y ¿CUÁL ES MI TICKET MEDIO?.</a:t>
          </a:r>
          <a:endParaRPr sz="1100" b="1"/>
        </a:p>
        <a:p>
          <a:pPr marL="0" lvl="0" indent="0" algn="l" rtl="0">
            <a:lnSpc>
              <a:spcPct val="115000"/>
            </a:lnSpc>
            <a:spcBef>
              <a:spcPts val="0"/>
            </a:spcBef>
            <a:spcAft>
              <a:spcPts val="0"/>
            </a:spcAft>
            <a:buNone/>
          </a:pPr>
          <a:endParaRPr sz="1100"/>
        </a:p>
        <a:p>
          <a:pPr marL="457200" lvl="0" indent="0" algn="just" rtl="0">
            <a:lnSpc>
              <a:spcPct val="115000"/>
            </a:lnSpc>
            <a:spcBef>
              <a:spcPts val="0"/>
            </a:spcBef>
            <a:spcAft>
              <a:spcPts val="0"/>
            </a:spcAft>
            <a:buNone/>
          </a:pPr>
          <a:r>
            <a:rPr lang="en-US" sz="1100"/>
            <a:t>OBJETIVO: Durante las primeras 6 semanas de este módulo has tenido que:</a:t>
          </a:r>
          <a:endParaRPr sz="1100"/>
        </a:p>
        <a:p>
          <a:pPr marL="457200" lvl="0" indent="0" algn="just" rtl="0">
            <a:lnSpc>
              <a:spcPct val="115000"/>
            </a:lnSpc>
            <a:spcBef>
              <a:spcPts val="0"/>
            </a:spcBef>
            <a:spcAft>
              <a:spcPts val="0"/>
            </a:spcAft>
            <a:buNone/>
          </a:pPr>
          <a:r>
            <a:rPr lang="en-US" sz="1100"/>
            <a:t>Medir, clasificar y gestionar las partidas financieras más importantes del negocio.</a:t>
          </a:r>
          <a:endParaRPr sz="1100"/>
        </a:p>
        <a:p>
          <a:pPr marL="457200" lvl="0" indent="0" algn="just" rtl="0">
            <a:lnSpc>
              <a:spcPct val="115000"/>
            </a:lnSpc>
            <a:spcBef>
              <a:spcPts val="0"/>
            </a:spcBef>
            <a:spcAft>
              <a:spcPts val="0"/>
            </a:spcAft>
            <a:buNone/>
          </a:pPr>
          <a:r>
            <a:rPr lang="en-US" sz="1100"/>
            <a:t>Centrar el negocio en obtener compensación y ganancias con el negocio y ajustar los gastos de operación para que esto sea posible.</a:t>
          </a:r>
          <a:endParaRPr sz="1100"/>
        </a:p>
        <a:p>
          <a:pPr marL="457200" lvl="0" indent="0" algn="just" rtl="0">
            <a:lnSpc>
              <a:spcPct val="115000"/>
            </a:lnSpc>
            <a:spcBef>
              <a:spcPts val="0"/>
            </a:spcBef>
            <a:spcAft>
              <a:spcPts val="0"/>
            </a:spcAft>
            <a:buNone/>
          </a:pPr>
          <a:endParaRPr sz="1100"/>
        </a:p>
        <a:p>
          <a:pPr marL="457200" lvl="0" indent="0" algn="just" rtl="0">
            <a:lnSpc>
              <a:spcPct val="115000"/>
            </a:lnSpc>
            <a:spcBef>
              <a:spcPts val="0"/>
            </a:spcBef>
            <a:spcAft>
              <a:spcPts val="0"/>
            </a:spcAft>
            <a:buNone/>
          </a:pPr>
          <a:r>
            <a:rPr lang="en-US" sz="1100"/>
            <a:t>En esta semana 7 vamos a repasar lo aprendido en el Máster con relación a medir cuánto hay que facturar por día y por hora para cubrir los costos y también el valor del ticket medio como base para incrementar los ingresos del negocio. </a:t>
          </a:r>
          <a:endParaRPr sz="1100"/>
        </a:p>
        <a:p>
          <a:pPr marL="45720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ACTIVIDAD: </a:t>
          </a:r>
          <a:endParaRPr sz="1100"/>
        </a:p>
        <a:p>
          <a:pPr marL="45720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REVISIÓN DE CUÁNTO VENDER AL DÍA</a:t>
          </a:r>
          <a:endParaRPr sz="1100"/>
        </a:p>
        <a:p>
          <a:pPr marL="914400" lvl="0" indent="0" algn="l" rtl="0">
            <a:lnSpc>
              <a:spcPct val="115000"/>
            </a:lnSpc>
            <a:spcBef>
              <a:spcPts val="0"/>
            </a:spcBef>
            <a:spcAft>
              <a:spcPts val="0"/>
            </a:spcAft>
            <a:buNone/>
          </a:pPr>
          <a:r>
            <a:rPr lang="en-US" sz="1100"/>
            <a:t>1.Ve a la pestaña 7 CUÁNTO VENDER AL DÍA y revisa nuevamente los día y horas que trabajas en tu negocio. Recuerda que solo cuentan las horas que estás vendiendo tu negocio, no las que trabajas a “puerta cerrada”.</a:t>
          </a:r>
          <a:endParaRPr sz="1100"/>
        </a:p>
        <a:p>
          <a:pPr marL="914400" lvl="0" indent="0" algn="l" rtl="0">
            <a:lnSpc>
              <a:spcPct val="115000"/>
            </a:lnSpc>
            <a:spcBef>
              <a:spcPts val="0"/>
            </a:spcBef>
            <a:spcAft>
              <a:spcPts val="0"/>
            </a:spcAft>
            <a:buNone/>
          </a:pPr>
          <a:r>
            <a:rPr lang="en-US" sz="1100"/>
            <a:t>2.Revisa el valor obtenido en la fila 40 MÍNIMA FACTURACIÓN POR HORA y hazte la siguientes preguntas.</a:t>
          </a:r>
          <a:endParaRPr sz="1100"/>
        </a:p>
        <a:p>
          <a:pPr marL="1371600" lvl="1" indent="-298450" algn="l" rtl="0">
            <a:lnSpc>
              <a:spcPct val="115000"/>
            </a:lnSpc>
            <a:spcBef>
              <a:spcPts val="0"/>
            </a:spcBef>
            <a:spcAft>
              <a:spcPts val="0"/>
            </a:spcAft>
            <a:buSzPts val="1100"/>
            <a:buChar char="○"/>
          </a:pPr>
          <a:r>
            <a:rPr lang="en-US" sz="1100"/>
            <a:t>¿Cuántos clientes puedo atender de forma simultánea en 1 hora?</a:t>
          </a:r>
          <a:endParaRPr sz="1100"/>
        </a:p>
        <a:p>
          <a:pPr marL="1371600" lvl="1" indent="-298450" algn="l" rtl="0">
            <a:lnSpc>
              <a:spcPct val="115000"/>
            </a:lnSpc>
            <a:spcBef>
              <a:spcPts val="0"/>
            </a:spcBef>
            <a:spcAft>
              <a:spcPts val="0"/>
            </a:spcAft>
            <a:buSzPts val="1100"/>
            <a:buChar char="○"/>
          </a:pPr>
          <a:r>
            <a:rPr lang="en-US" sz="1100"/>
            <a:t>¿Cuánto cuestan los productos o servicios que más vendo?</a:t>
          </a:r>
          <a:endParaRPr sz="1100"/>
        </a:p>
        <a:p>
          <a:pPr marL="1371600" lvl="1" indent="-298450" algn="l" rtl="0">
            <a:lnSpc>
              <a:spcPct val="115000"/>
            </a:lnSpc>
            <a:spcBef>
              <a:spcPts val="0"/>
            </a:spcBef>
            <a:spcAft>
              <a:spcPts val="0"/>
            </a:spcAft>
            <a:buSzPts val="1100"/>
            <a:buChar char="○"/>
          </a:pPr>
          <a:r>
            <a:rPr lang="en-US" sz="1100"/>
            <a:t>En general, ¿el precio de mis productos o servicios es más alto o más bajo que el valor obtenido de “Mínima facturación por hora”?</a:t>
          </a:r>
          <a:endParaRPr sz="1100"/>
        </a:p>
        <a:p>
          <a:pPr marL="0" lvl="0" indent="0" algn="l" rtl="0">
            <a:spcBef>
              <a:spcPts val="0"/>
            </a:spcBef>
            <a:spcAft>
              <a:spcPts val="0"/>
            </a:spcAft>
            <a:buNone/>
          </a:pPr>
          <a:endParaRPr sz="1400"/>
        </a:p>
      </xdr:txBody>
    </xdr:sp>
    <xdr:clientData fLocksWithSheet="0"/>
  </xdr:oneCellAnchor>
  <xdr:oneCellAnchor>
    <xdr:from>
      <xdr:col>0</xdr:col>
      <xdr:colOff>266700</xdr:colOff>
      <xdr:row>26</xdr:row>
      <xdr:rowOff>104775</xdr:rowOff>
    </xdr:from>
    <xdr:ext cx="7562850" cy="3409950"/>
    <xdr:sp macro="" textlink="">
      <xdr:nvSpPr>
        <xdr:cNvPr id="16" name="Shape 16">
          <a:extLst>
            <a:ext uri="{FF2B5EF4-FFF2-40B4-BE49-F238E27FC236}">
              <a16:creationId xmlns:a16="http://schemas.microsoft.com/office/drawing/2014/main" id="{00000000-0008-0000-1100-000010000000}"/>
            </a:ext>
          </a:extLst>
        </xdr:cNvPr>
        <xdr:cNvSpPr txBox="1"/>
      </xdr:nvSpPr>
      <xdr:spPr>
        <a:xfrm>
          <a:off x="30450" y="172575"/>
          <a:ext cx="7542300" cy="3116400"/>
        </a:xfrm>
        <a:prstGeom prst="rect">
          <a:avLst/>
        </a:prstGeom>
        <a:noFill/>
        <a:ln>
          <a:noFill/>
        </a:ln>
      </xdr:spPr>
      <xdr:txBody>
        <a:bodyPr spcFirstLastPara="1" wrap="square" lIns="91425" tIns="91425" rIns="91425" bIns="91425" anchor="t" anchorCtr="0">
          <a:noAutofit/>
        </a:bodyPr>
        <a:lstStyle/>
        <a:p>
          <a:pPr marL="457200" lvl="0" indent="0" algn="l" rtl="0">
            <a:lnSpc>
              <a:spcPct val="115000"/>
            </a:lnSpc>
            <a:spcBef>
              <a:spcPts val="0"/>
            </a:spcBef>
            <a:spcAft>
              <a:spcPts val="0"/>
            </a:spcAft>
            <a:buNone/>
          </a:pPr>
          <a:r>
            <a:rPr lang="en-US" sz="1100"/>
            <a:t>REVISIÓN DE TICKET MEDIO</a:t>
          </a:r>
          <a:endParaRPr sz="1100"/>
        </a:p>
        <a:p>
          <a:pPr marL="914400" lvl="0" indent="0" algn="l" rtl="0">
            <a:lnSpc>
              <a:spcPct val="115000"/>
            </a:lnSpc>
            <a:spcBef>
              <a:spcPts val="0"/>
            </a:spcBef>
            <a:spcAft>
              <a:spcPts val="0"/>
            </a:spcAft>
            <a:buNone/>
          </a:pPr>
          <a:r>
            <a:rPr lang="en-US" sz="1100"/>
            <a:t>1.Ve a la pestaña 8 TICKET MEDIO y llena la información de facturación y número de clientes atendidos en los últimos 6 meses.</a:t>
          </a:r>
          <a:endParaRPr sz="1100"/>
        </a:p>
        <a:p>
          <a:pPr marL="914400" lvl="0" indent="0" algn="l" rtl="0">
            <a:lnSpc>
              <a:spcPct val="115000"/>
            </a:lnSpc>
            <a:spcBef>
              <a:spcPts val="0"/>
            </a:spcBef>
            <a:spcAft>
              <a:spcPts val="0"/>
            </a:spcAft>
            <a:buNone/>
          </a:pPr>
          <a:r>
            <a:rPr lang="en-US" sz="1100"/>
            <a:t>2.Revisa el valor obtenido en la fila 11 TICKET MEDIO de los últimos 6 meses y hazte la siguientes preguntas.</a:t>
          </a:r>
          <a:endParaRPr sz="1100"/>
        </a:p>
        <a:p>
          <a:pPr marL="1371600" lvl="1" indent="-298450" algn="l" rtl="0">
            <a:lnSpc>
              <a:spcPct val="115000"/>
            </a:lnSpc>
            <a:spcBef>
              <a:spcPts val="0"/>
            </a:spcBef>
            <a:spcAft>
              <a:spcPts val="0"/>
            </a:spcAft>
            <a:buSzPts val="1100"/>
            <a:buChar char="○"/>
          </a:pPr>
          <a:r>
            <a:rPr lang="en-US" sz="1100"/>
            <a:t>¿Cómo se compara el ticket medio con la mínima facturación por hora (es más bajo, es más alto)?. Para esto, observa el factor de relación en la línea 19 o 24 según sea tu caso. Si ese número es mayor que 1 entonces tu ticket medio es más alto que la mínima facturación por hora, si es menor a 1, entonces es más bajo.</a:t>
          </a:r>
          <a:endParaRPr sz="1100"/>
        </a:p>
        <a:p>
          <a:pPr marL="1371600" lvl="1" indent="-298450" algn="l" rtl="0">
            <a:lnSpc>
              <a:spcPct val="115000"/>
            </a:lnSpc>
            <a:spcBef>
              <a:spcPts val="0"/>
            </a:spcBef>
            <a:spcAft>
              <a:spcPts val="0"/>
            </a:spcAft>
            <a:buSzPts val="1100"/>
            <a:buChar char="○"/>
          </a:pPr>
          <a:r>
            <a:rPr lang="en-US" sz="1100"/>
            <a:t>¿Cuánto tiempo en promedio me toma atender a un cliente?, ¿Cuál es el servicio o producto que me toma más tiempo? , ¿Cual es el servicio o producto que me toma menos tiempo?</a:t>
          </a:r>
          <a:endParaRPr sz="1100"/>
        </a:p>
        <a:p>
          <a:pPr marL="1371600" lvl="1" indent="-298450" algn="l" rtl="0">
            <a:lnSpc>
              <a:spcPct val="115000"/>
            </a:lnSpc>
            <a:spcBef>
              <a:spcPts val="0"/>
            </a:spcBef>
            <a:spcAft>
              <a:spcPts val="0"/>
            </a:spcAft>
            <a:buSzPts val="1100"/>
            <a:buChar char="○"/>
          </a:pPr>
          <a:r>
            <a:rPr lang="en-US" sz="1100"/>
            <a:t>¿Cómo se compara el precio de los productos o servicios que más vendo con el valor del ticket medio?</a:t>
          </a:r>
          <a:endParaRPr sz="1100"/>
        </a:p>
        <a:p>
          <a:pPr marL="1371600" lvl="1" indent="-298450" algn="l" rtl="0">
            <a:lnSpc>
              <a:spcPct val="115000"/>
            </a:lnSpc>
            <a:spcBef>
              <a:spcPts val="0"/>
            </a:spcBef>
            <a:spcAft>
              <a:spcPts val="0"/>
            </a:spcAft>
            <a:buSzPts val="1100"/>
            <a:buChar char="○"/>
          </a:pPr>
          <a:r>
            <a:rPr lang="en-US" sz="1100"/>
            <a:t>¿Hay algún mes que haya mostrado un ticket medio más alto que los demás?. Si es así, ¿Qué actividades tuviste ese mes?</a:t>
          </a:r>
          <a:endParaRPr sz="1100"/>
        </a:p>
        <a:p>
          <a:pPr marL="457200" lvl="0" indent="0" algn="l" rtl="0">
            <a:lnSpc>
              <a:spcPct val="115000"/>
            </a:lnSpc>
            <a:spcBef>
              <a:spcPts val="0"/>
            </a:spcBef>
            <a:spcAft>
              <a:spcPts val="0"/>
            </a:spcAft>
            <a:buNone/>
          </a:pPr>
          <a:endParaRPr sz="1100"/>
        </a:p>
        <a:p>
          <a:pPr marL="0" lvl="0" indent="0" algn="l" rtl="0">
            <a:spcBef>
              <a:spcPts val="0"/>
            </a:spcBef>
            <a:spcAft>
              <a:spcPts val="0"/>
            </a:spcAft>
            <a:buNone/>
          </a:pP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209550</xdr:colOff>
      <xdr:row>0</xdr:row>
      <xdr:rowOff>114300</xdr:rowOff>
    </xdr:from>
    <xdr:ext cx="7543800" cy="3990975"/>
    <xdr:sp macro="" textlink="">
      <xdr:nvSpPr>
        <xdr:cNvPr id="17" name="Shape 17">
          <a:extLst>
            <a:ext uri="{FF2B5EF4-FFF2-40B4-BE49-F238E27FC236}">
              <a16:creationId xmlns:a16="http://schemas.microsoft.com/office/drawing/2014/main" id="{00000000-0008-0000-1400-000011000000}"/>
            </a:ext>
          </a:extLst>
        </xdr:cNvPr>
        <xdr:cNvSpPr txBox="1"/>
      </xdr:nvSpPr>
      <xdr:spPr>
        <a:xfrm>
          <a:off x="40600" y="213175"/>
          <a:ext cx="7521900" cy="3837000"/>
        </a:xfrm>
        <a:prstGeom prst="rect">
          <a:avLst/>
        </a:prstGeom>
        <a:noFill/>
        <a:ln>
          <a:noFill/>
        </a:ln>
      </xdr:spPr>
      <xdr:txBody>
        <a:bodyPr spcFirstLastPara="1" wrap="square" lIns="91425" tIns="91425" rIns="91425" bIns="91425" anchor="t" anchorCtr="0">
          <a:noAutofit/>
        </a:bodyPr>
        <a:lstStyle/>
        <a:p>
          <a:pPr marL="0" lvl="0" indent="0" algn="l" rtl="0">
            <a:lnSpc>
              <a:spcPct val="115000"/>
            </a:lnSpc>
            <a:spcBef>
              <a:spcPts val="0"/>
            </a:spcBef>
            <a:spcAft>
              <a:spcPts val="0"/>
            </a:spcAft>
            <a:buNone/>
          </a:pPr>
          <a:r>
            <a:rPr lang="en-US" sz="1100" b="1"/>
            <a:t>ESTRATEGIAS EXTRA. 5 PRINCIPIOS ADICIONALES PARA MEJORAR TU GESTIÓN FINANCIERA</a:t>
          </a:r>
          <a:endParaRPr sz="1100" b="1"/>
        </a:p>
        <a:p>
          <a:pPr marL="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OBJETIVO: Con lo aprendido e implementado hasta este momento, la salud financiera de tu negocio va a mejorar considerablemente.</a:t>
          </a:r>
          <a:endParaRPr sz="1100"/>
        </a:p>
        <a:p>
          <a:pPr marL="45720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En resumen, hasta la fecha tienes que haber implementado:</a:t>
          </a:r>
          <a:endParaRPr sz="1100"/>
        </a:p>
        <a:p>
          <a:pPr marL="457200" lvl="0" indent="0" algn="l" rtl="0">
            <a:lnSpc>
              <a:spcPct val="115000"/>
            </a:lnSpc>
            <a:spcBef>
              <a:spcPts val="0"/>
            </a:spcBef>
            <a:spcAft>
              <a:spcPts val="0"/>
            </a:spcAft>
            <a:buNone/>
          </a:pPr>
          <a:endParaRPr sz="1100"/>
        </a:p>
        <a:p>
          <a:pPr marL="914400" lvl="0" indent="-298450" algn="l" rtl="0">
            <a:lnSpc>
              <a:spcPct val="115000"/>
            </a:lnSpc>
            <a:spcBef>
              <a:spcPts val="0"/>
            </a:spcBef>
            <a:spcAft>
              <a:spcPts val="0"/>
            </a:spcAft>
            <a:buSzPts val="1100"/>
            <a:buChar char="●"/>
          </a:pPr>
          <a:r>
            <a:rPr lang="en-US" sz="1100"/>
            <a:t>Una metodología de control de la distribución de las partidas que te permitirá enfocarte en la compensación y ganancias de tu negocio</a:t>
          </a:r>
          <a:endParaRPr sz="1100"/>
        </a:p>
        <a:p>
          <a:pPr marL="914400" lvl="0" indent="-298450" algn="l" rtl="0">
            <a:lnSpc>
              <a:spcPct val="115000"/>
            </a:lnSpc>
            <a:spcBef>
              <a:spcPts val="0"/>
            </a:spcBef>
            <a:spcAft>
              <a:spcPts val="0"/>
            </a:spcAft>
            <a:buSzPts val="1100"/>
            <a:buChar char="●"/>
          </a:pPr>
          <a:r>
            <a:rPr lang="en-US" sz="1100"/>
            <a:t>Estrategias de reducción de gastos.</a:t>
          </a:r>
          <a:endParaRPr sz="1100"/>
        </a:p>
        <a:p>
          <a:pPr marL="914400" lvl="0" indent="-298450" algn="l" rtl="0">
            <a:lnSpc>
              <a:spcPct val="115000"/>
            </a:lnSpc>
            <a:spcBef>
              <a:spcPts val="0"/>
            </a:spcBef>
            <a:spcAft>
              <a:spcPts val="0"/>
            </a:spcAft>
            <a:buSzPts val="1100"/>
            <a:buChar char="●"/>
          </a:pPr>
          <a:r>
            <a:rPr lang="en-US" sz="1100"/>
            <a:t>Conocimiento de los valores actualizados de cuánto tienes que facturar al día para cubrir gastos, tu ticket medio y cómo estos dos valores se relacionan para incrementar tus ventas.</a:t>
          </a:r>
          <a:endParaRPr sz="1100"/>
        </a:p>
        <a:p>
          <a:pPr marL="45720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Una vez culminado los pasos anteriores, entonces podrás revisar estos 5 principios adicionales para seguir trabajando en la salud financiera de tu negocio.</a:t>
          </a:r>
          <a:endParaRPr sz="1100"/>
        </a:p>
        <a:p>
          <a:pPr marL="0" lvl="0" indent="0" algn="l" rtl="0">
            <a:lnSpc>
              <a:spcPct val="115000"/>
            </a:lnSpc>
            <a:spcBef>
              <a:spcPts val="0"/>
            </a:spcBef>
            <a:spcAft>
              <a:spcPts val="0"/>
            </a:spcAft>
            <a:buNone/>
          </a:pPr>
          <a:endParaRPr sz="1100"/>
        </a:p>
        <a:p>
          <a:pPr marL="0" lvl="0" indent="457200" algn="l" rtl="0">
            <a:lnSpc>
              <a:spcPct val="115000"/>
            </a:lnSpc>
            <a:spcBef>
              <a:spcPts val="0"/>
            </a:spcBef>
            <a:spcAft>
              <a:spcPts val="0"/>
            </a:spcAft>
            <a:buNone/>
          </a:pPr>
          <a:r>
            <a:rPr lang="en-US" sz="1100"/>
            <a:t>ACTIVIDADES:</a:t>
          </a:r>
          <a:endParaRPr sz="1100"/>
        </a:p>
        <a:p>
          <a:pPr marL="457200" lvl="0" indent="0" algn="l" rtl="0">
            <a:lnSpc>
              <a:spcPct val="115000"/>
            </a:lnSpc>
            <a:spcBef>
              <a:spcPts val="0"/>
            </a:spcBef>
            <a:spcAft>
              <a:spcPts val="0"/>
            </a:spcAft>
            <a:buNone/>
          </a:pPr>
          <a:r>
            <a:rPr lang="en-US" sz="1100"/>
            <a:t>Cada mes, o cada dos meses, según distribuyas tu tiempo de empresaria, te enfocarás en revisar uno de los siguientes aspectos del negocio:</a:t>
          </a:r>
          <a:endParaRPr sz="1400"/>
        </a:p>
        <a:p>
          <a:pPr marL="0" lvl="0" indent="0" algn="l" rtl="0">
            <a:spcBef>
              <a:spcPts val="0"/>
            </a:spcBef>
            <a:spcAft>
              <a:spcPts val="0"/>
            </a:spcAft>
            <a:buNone/>
          </a:pPr>
          <a:endParaRPr sz="1400"/>
        </a:p>
      </xdr:txBody>
    </xdr:sp>
    <xdr:clientData fLocksWithSheet="0"/>
  </xdr:oneCellAnchor>
  <xdr:oneCellAnchor>
    <xdr:from>
      <xdr:col>0</xdr:col>
      <xdr:colOff>638175</xdr:colOff>
      <xdr:row>20</xdr:row>
      <xdr:rowOff>104775</xdr:rowOff>
    </xdr:from>
    <xdr:ext cx="7600950" cy="3552825"/>
    <xdr:sp macro="" textlink="">
      <xdr:nvSpPr>
        <xdr:cNvPr id="18" name="Shape 18">
          <a:extLst>
            <a:ext uri="{FF2B5EF4-FFF2-40B4-BE49-F238E27FC236}">
              <a16:creationId xmlns:a16="http://schemas.microsoft.com/office/drawing/2014/main" id="{00000000-0008-0000-1400-000012000000}"/>
            </a:ext>
          </a:extLst>
        </xdr:cNvPr>
        <xdr:cNvSpPr txBox="1"/>
      </xdr:nvSpPr>
      <xdr:spPr>
        <a:xfrm>
          <a:off x="30450" y="101500"/>
          <a:ext cx="7620000" cy="3319500"/>
        </a:xfrm>
        <a:prstGeom prst="rect">
          <a:avLst/>
        </a:prstGeom>
        <a:noFill/>
        <a:ln>
          <a:noFill/>
        </a:ln>
      </xdr:spPr>
      <xdr:txBody>
        <a:bodyPr spcFirstLastPara="1" wrap="square" lIns="91425" tIns="91425" rIns="91425" bIns="91425" anchor="t" anchorCtr="0">
          <a:noAutofit/>
        </a:bodyPr>
        <a:lstStyle/>
        <a:p>
          <a:pPr marL="457200" lvl="0" indent="0" algn="l" rtl="0">
            <a:lnSpc>
              <a:spcPct val="115000"/>
            </a:lnSpc>
            <a:spcBef>
              <a:spcPts val="0"/>
            </a:spcBef>
            <a:spcAft>
              <a:spcPts val="0"/>
            </a:spcAft>
            <a:buNone/>
          </a:pPr>
          <a:r>
            <a:rPr lang="en-US" sz="1100"/>
            <a:t> Flujo de Caja</a:t>
          </a:r>
          <a:endParaRPr sz="1100"/>
        </a:p>
        <a:p>
          <a:pPr marL="914400" lvl="1" indent="-298450" algn="l" rtl="0">
            <a:lnSpc>
              <a:spcPct val="115000"/>
            </a:lnSpc>
            <a:spcBef>
              <a:spcPts val="0"/>
            </a:spcBef>
            <a:spcAft>
              <a:spcPts val="0"/>
            </a:spcAft>
            <a:buSzPts val="1100"/>
            <a:buAutoNum type="alphaLcPeriod"/>
          </a:pPr>
          <a:r>
            <a:rPr lang="en-US" sz="1100"/>
            <a:t>¿Cuándo le cobras a tu cliente, antes o después de entregarle el producto o servicio?</a:t>
          </a:r>
          <a:endParaRPr sz="1100"/>
        </a:p>
        <a:p>
          <a:pPr marL="914400" lvl="1" indent="-298450" algn="l" rtl="0">
            <a:lnSpc>
              <a:spcPct val="115000"/>
            </a:lnSpc>
            <a:spcBef>
              <a:spcPts val="0"/>
            </a:spcBef>
            <a:spcAft>
              <a:spcPts val="0"/>
            </a:spcAft>
            <a:buSzPts val="1100"/>
            <a:buAutoNum type="alphaLcPeriod"/>
          </a:pPr>
          <a:r>
            <a:rPr lang="en-US" sz="1100"/>
            <a:t>¿Le cobras lo mismo si te paga de contado o a plazos?</a:t>
          </a:r>
          <a:endParaRPr sz="1100"/>
        </a:p>
        <a:p>
          <a:pPr marL="914400" lvl="1" indent="-298450" algn="l" rtl="0">
            <a:lnSpc>
              <a:spcPct val="115000"/>
            </a:lnSpc>
            <a:spcBef>
              <a:spcPts val="0"/>
            </a:spcBef>
            <a:spcAft>
              <a:spcPts val="0"/>
            </a:spcAft>
            <a:buSzPts val="1100"/>
            <a:buAutoNum type="alphaLcPeriod"/>
          </a:pPr>
          <a:r>
            <a:rPr lang="en-US" sz="1100"/>
            <a:t>¿Cómo le pagas a tus proveedores, de contado o a 30, 45 o 60 días?</a:t>
          </a:r>
          <a:endParaRPr sz="1100"/>
        </a:p>
        <a:p>
          <a:pPr marL="914400" lvl="1" indent="-298450" algn="l" rtl="0">
            <a:lnSpc>
              <a:spcPct val="115000"/>
            </a:lnSpc>
            <a:spcBef>
              <a:spcPts val="0"/>
            </a:spcBef>
            <a:spcAft>
              <a:spcPts val="0"/>
            </a:spcAft>
            <a:buSzPts val="1100"/>
            <a:buAutoNum type="alphaLcPeriod"/>
          </a:pPr>
          <a:r>
            <a:rPr lang="en-US" sz="1100"/>
            <a:t>¿Pides descuento por pronto pago a tus proveedores?</a:t>
          </a:r>
          <a:endParaRPr sz="1100"/>
        </a:p>
        <a:p>
          <a:pPr marL="91440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Optimización de inventario</a:t>
          </a:r>
          <a:endParaRPr sz="1100"/>
        </a:p>
        <a:p>
          <a:pPr marL="914400" lvl="1" indent="-298450" algn="l" rtl="0">
            <a:lnSpc>
              <a:spcPct val="115000"/>
            </a:lnSpc>
            <a:spcBef>
              <a:spcPts val="0"/>
            </a:spcBef>
            <a:spcAft>
              <a:spcPts val="0"/>
            </a:spcAft>
            <a:buSzPts val="1100"/>
            <a:buAutoNum type="alphaLcPeriod"/>
          </a:pPr>
          <a:r>
            <a:rPr lang="en-US" sz="1100"/>
            <a:t>¿Conoces al detalle la existencias de productos que tienes en tu almacén y su valor? </a:t>
          </a:r>
          <a:endParaRPr sz="1100"/>
        </a:p>
        <a:p>
          <a:pPr marL="914400" lvl="1" indent="-298450" algn="l" rtl="0">
            <a:lnSpc>
              <a:spcPct val="115000"/>
            </a:lnSpc>
            <a:spcBef>
              <a:spcPts val="0"/>
            </a:spcBef>
            <a:spcAft>
              <a:spcPts val="0"/>
            </a:spcAft>
            <a:buSzPts val="1100"/>
            <a:buAutoNum type="alphaLcPeriod"/>
          </a:pPr>
          <a:r>
            <a:rPr lang="en-US" sz="1100"/>
            <a:t>¿Ha aumentado tu inventario de algunos productos? </a:t>
          </a:r>
          <a:endParaRPr sz="1100"/>
        </a:p>
        <a:p>
          <a:pPr marL="914400" lvl="1" indent="-298450" algn="l" rtl="0">
            <a:lnSpc>
              <a:spcPct val="115000"/>
            </a:lnSpc>
            <a:spcBef>
              <a:spcPts val="0"/>
            </a:spcBef>
            <a:spcAft>
              <a:spcPts val="0"/>
            </a:spcAft>
            <a:buSzPts val="1100"/>
            <a:buAutoNum type="alphaLcPeriod"/>
          </a:pPr>
          <a:r>
            <a:rPr lang="en-US" sz="1100"/>
            <a:t>¿Hay baja rotación de algunos productos? </a:t>
          </a:r>
          <a:endParaRPr sz="1100"/>
        </a:p>
        <a:p>
          <a:pPr marL="914400" lvl="1" indent="-298450" algn="l" rtl="0">
            <a:lnSpc>
              <a:spcPct val="115000"/>
            </a:lnSpc>
            <a:spcBef>
              <a:spcPts val="0"/>
            </a:spcBef>
            <a:spcAft>
              <a:spcPts val="0"/>
            </a:spcAft>
            <a:buSzPts val="1100"/>
            <a:buAutoNum type="alphaLcPeriod"/>
          </a:pPr>
          <a:r>
            <a:rPr lang="en-US" sz="1100"/>
            <a:t>¿Tienes productos obsoletos?</a:t>
          </a:r>
          <a:endParaRPr sz="1100"/>
        </a:p>
        <a:p>
          <a:pPr marL="91440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Diversifica el riesgo</a:t>
          </a:r>
          <a:endParaRPr sz="1100"/>
        </a:p>
        <a:p>
          <a:pPr marL="914400" lvl="1" indent="-298450" algn="l" rtl="0">
            <a:lnSpc>
              <a:spcPct val="115000"/>
            </a:lnSpc>
            <a:spcBef>
              <a:spcPts val="0"/>
            </a:spcBef>
            <a:spcAft>
              <a:spcPts val="0"/>
            </a:spcAft>
            <a:buSzPts val="1100"/>
            <a:buAutoNum type="alphaLcPeriod"/>
          </a:pPr>
          <a:r>
            <a:rPr lang="en-US" sz="1100"/>
            <a:t>¿Qué porcentaje sobre el total de tus ventas representa tu/s principal/es cliente/s?</a:t>
          </a:r>
          <a:endParaRPr sz="1100"/>
        </a:p>
        <a:p>
          <a:pPr marL="914400" lvl="1" indent="-298450" algn="l" rtl="0">
            <a:lnSpc>
              <a:spcPct val="115000"/>
            </a:lnSpc>
            <a:spcBef>
              <a:spcPts val="0"/>
            </a:spcBef>
            <a:spcAft>
              <a:spcPts val="0"/>
            </a:spcAft>
            <a:buSzPts val="1100"/>
            <a:buAutoNum type="alphaLcPeriod"/>
          </a:pPr>
          <a:r>
            <a:rPr lang="en-US" sz="1100"/>
            <a:t>¿El suministro de tus productos están concentrados en un único proveedor?</a:t>
          </a:r>
          <a:endParaRPr sz="1100"/>
        </a:p>
        <a:p>
          <a:pPr marL="914400" lvl="1" indent="-298450" algn="l" rtl="0">
            <a:lnSpc>
              <a:spcPct val="115000"/>
            </a:lnSpc>
            <a:spcBef>
              <a:spcPts val="0"/>
            </a:spcBef>
            <a:spcAft>
              <a:spcPts val="0"/>
            </a:spcAft>
            <a:buSzPts val="1100"/>
            <a:buAutoNum type="alphaLcPeriod"/>
          </a:pPr>
          <a:r>
            <a:rPr lang="en-US" sz="1100"/>
            <a:t>¿Cuántos productos o servicios le ofreces a tu cliente ideal?</a:t>
          </a:r>
          <a:endParaRPr sz="1100"/>
        </a:p>
        <a:p>
          <a:pPr marL="914400" lvl="0" indent="0" algn="l" rtl="0">
            <a:lnSpc>
              <a:spcPct val="115000"/>
            </a:lnSpc>
            <a:spcBef>
              <a:spcPts val="0"/>
            </a:spcBef>
            <a:spcAft>
              <a:spcPts val="0"/>
            </a:spcAft>
            <a:buNone/>
          </a:pPr>
          <a:endParaRPr sz="1100"/>
        </a:p>
        <a:p>
          <a:pPr marL="0" lvl="0" indent="0" algn="l" rtl="0">
            <a:lnSpc>
              <a:spcPct val="115000"/>
            </a:lnSpc>
            <a:spcBef>
              <a:spcPts val="0"/>
            </a:spcBef>
            <a:spcAft>
              <a:spcPts val="0"/>
            </a:spcAft>
            <a:buNone/>
          </a:pPr>
          <a:endParaRPr sz="1100"/>
        </a:p>
      </xdr:txBody>
    </xdr:sp>
    <xdr:clientData fLocksWithSheet="0"/>
  </xdr:oneCellAnchor>
  <xdr:oneCellAnchor>
    <xdr:from>
      <xdr:col>0</xdr:col>
      <xdr:colOff>657225</xdr:colOff>
      <xdr:row>38</xdr:row>
      <xdr:rowOff>9525</xdr:rowOff>
    </xdr:from>
    <xdr:ext cx="7581900" cy="2828925"/>
    <xdr:sp macro="" textlink="">
      <xdr:nvSpPr>
        <xdr:cNvPr id="19" name="Shape 19">
          <a:extLst>
            <a:ext uri="{FF2B5EF4-FFF2-40B4-BE49-F238E27FC236}">
              <a16:creationId xmlns:a16="http://schemas.microsoft.com/office/drawing/2014/main" id="{00000000-0008-0000-1400-000013000000}"/>
            </a:ext>
          </a:extLst>
        </xdr:cNvPr>
        <xdr:cNvSpPr txBox="1"/>
      </xdr:nvSpPr>
      <xdr:spPr>
        <a:xfrm>
          <a:off x="10150" y="182725"/>
          <a:ext cx="7562400" cy="2771100"/>
        </a:xfrm>
        <a:prstGeom prst="rect">
          <a:avLst/>
        </a:prstGeom>
        <a:noFill/>
        <a:ln>
          <a:noFill/>
        </a:ln>
      </xdr:spPr>
      <xdr:txBody>
        <a:bodyPr spcFirstLastPara="1" wrap="square" lIns="91425" tIns="91425" rIns="91425" bIns="91425" anchor="t" anchorCtr="0">
          <a:noAutofit/>
        </a:bodyPr>
        <a:lstStyle/>
        <a:p>
          <a:pPr marL="457200" lvl="0" indent="0" algn="l" rtl="0">
            <a:lnSpc>
              <a:spcPct val="115000"/>
            </a:lnSpc>
            <a:spcBef>
              <a:spcPts val="0"/>
            </a:spcBef>
            <a:spcAft>
              <a:spcPts val="0"/>
            </a:spcAft>
            <a:buNone/>
          </a:pPr>
          <a:r>
            <a:rPr lang="en-US" sz="1100"/>
            <a:t>Gestiona tu Pool bancario (no te “cases” con un banco)</a:t>
          </a:r>
          <a:endParaRPr sz="1100"/>
        </a:p>
        <a:p>
          <a:pPr marL="914400" lvl="1" indent="-298450" algn="l" rtl="0">
            <a:lnSpc>
              <a:spcPct val="115000"/>
            </a:lnSpc>
            <a:spcBef>
              <a:spcPts val="0"/>
            </a:spcBef>
            <a:spcAft>
              <a:spcPts val="0"/>
            </a:spcAft>
            <a:buSzPts val="1100"/>
            <a:buAutoNum type="alphaLcPeriod"/>
          </a:pPr>
          <a:r>
            <a:rPr lang="en-US" sz="1100"/>
            <a:t>¿Concentras tu financiación en un solo banco?</a:t>
          </a:r>
          <a:endParaRPr sz="1100"/>
        </a:p>
        <a:p>
          <a:pPr marL="914400" lvl="1" indent="-298450" algn="l" rtl="0">
            <a:lnSpc>
              <a:spcPct val="115000"/>
            </a:lnSpc>
            <a:spcBef>
              <a:spcPts val="0"/>
            </a:spcBef>
            <a:spcAft>
              <a:spcPts val="0"/>
            </a:spcAft>
            <a:buSzPts val="1100"/>
            <a:buAutoNum type="alphaLcPeriod"/>
          </a:pPr>
          <a:r>
            <a:rPr lang="en-US" sz="1100"/>
            <a:t>¿Negocia continuamente tus condiciones financieras?</a:t>
          </a:r>
          <a:endParaRPr sz="1100"/>
        </a:p>
        <a:p>
          <a:pPr marL="914400" lvl="0" indent="0" algn="l" rtl="0">
            <a:lnSpc>
              <a:spcPct val="115000"/>
            </a:lnSpc>
            <a:spcBef>
              <a:spcPts val="0"/>
            </a:spcBef>
            <a:spcAft>
              <a:spcPts val="0"/>
            </a:spcAft>
            <a:buNone/>
          </a:pPr>
          <a:endParaRPr sz="1100"/>
        </a:p>
        <a:p>
          <a:pPr marL="457200" lvl="0" indent="0" algn="l" rtl="0">
            <a:lnSpc>
              <a:spcPct val="115000"/>
            </a:lnSpc>
            <a:spcBef>
              <a:spcPts val="0"/>
            </a:spcBef>
            <a:spcAft>
              <a:spcPts val="0"/>
            </a:spcAft>
            <a:buNone/>
          </a:pPr>
          <a:r>
            <a:rPr lang="en-US" sz="1100"/>
            <a:t>Valora el coste de oportunidad</a:t>
          </a:r>
          <a:endParaRPr sz="1100"/>
        </a:p>
        <a:p>
          <a:pPr marL="914400" lvl="1" indent="-298450" algn="l" rtl="0">
            <a:lnSpc>
              <a:spcPct val="115000"/>
            </a:lnSpc>
            <a:spcBef>
              <a:spcPts val="0"/>
            </a:spcBef>
            <a:spcAft>
              <a:spcPts val="0"/>
            </a:spcAft>
            <a:buSzPts val="1100"/>
            <a:buAutoNum type="alphaLcPeriod"/>
          </a:pPr>
          <a:r>
            <a:rPr lang="en-US" sz="1100"/>
            <a:t>¿Qué estoy necesitando para mejorar mi negocio?</a:t>
          </a:r>
          <a:endParaRPr sz="1100"/>
        </a:p>
        <a:p>
          <a:pPr marL="914400" lvl="1" indent="-298450" algn="l" rtl="0">
            <a:lnSpc>
              <a:spcPct val="115000"/>
            </a:lnSpc>
            <a:spcBef>
              <a:spcPts val="0"/>
            </a:spcBef>
            <a:spcAft>
              <a:spcPts val="0"/>
            </a:spcAft>
            <a:buSzPts val="1100"/>
            <a:buAutoNum type="alphaLcPeriod"/>
          </a:pPr>
          <a:r>
            <a:rPr lang="en-US" sz="1100"/>
            <a:t>¿Qué inversiones nuevas puedo valorar para mi negocio?. Esto puede incluir nuevas máquinas, inventario de nuevos productos, mejoras en mi local, material complementario (TPV, impresoras, etc), y también cursos o formaciones para ti y/o tu equipo de trabajo?</a:t>
          </a:r>
          <a:endParaRPr sz="1100"/>
        </a:p>
        <a:p>
          <a:pPr marL="914400" lvl="1" indent="-298450" algn="l" rtl="0">
            <a:lnSpc>
              <a:spcPct val="115000"/>
            </a:lnSpc>
            <a:spcBef>
              <a:spcPts val="0"/>
            </a:spcBef>
            <a:spcAft>
              <a:spcPts val="0"/>
            </a:spcAft>
            <a:buSzPts val="1100"/>
            <a:buAutoNum type="alphaLcPeriod"/>
          </a:pPr>
          <a:r>
            <a:rPr lang="en-US" sz="1100"/>
            <a:t>¿Qué pasa si invierto en cada una de esas alternativas?, ¿Cuanto espero crecer en ventas? ¿Cuánto tiempo libre gano?</a:t>
          </a:r>
          <a:endParaRPr sz="1100"/>
        </a:p>
        <a:p>
          <a:pPr marL="914400" lvl="1" indent="-298450" algn="l" rtl="0">
            <a:lnSpc>
              <a:spcPct val="115000"/>
            </a:lnSpc>
            <a:spcBef>
              <a:spcPts val="0"/>
            </a:spcBef>
            <a:spcAft>
              <a:spcPts val="0"/>
            </a:spcAft>
            <a:buSzPts val="1100"/>
            <a:buAutoNum type="alphaLcPeriod"/>
          </a:pPr>
          <a:r>
            <a:rPr lang="en-US" sz="1100"/>
            <a:t>¿Qué pasa si no invierto en eso ahora?, ¿Que riesgo tengo?, ¿puedo perder clientes y que se vayan con la competencia?</a:t>
          </a:r>
          <a:endParaRPr sz="1100"/>
        </a:p>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docs.google.com/document/d/1OTDhqcYlbSeenCjraNNQJIBdBoFkh21l9ZrPzHvCEmk/edit" TargetMode="External"/><Relationship Id="rId1" Type="http://schemas.openxmlformats.org/officeDocument/2006/relationships/hyperlink" Target="https://www.revolut.com/e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docs.google.com/document/d/1OTDhqcYlbSeenCjraNNQJIBdBoFkh21l9ZrPzHvCEmk/edit"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G57"/>
  <sheetViews>
    <sheetView topLeftCell="B3" workbookViewId="0">
      <selection activeCell="D15" sqref="D15"/>
    </sheetView>
  </sheetViews>
  <sheetFormatPr baseColWidth="10" defaultColWidth="12.6328125" defaultRowHeight="15.75" customHeight="1"/>
  <cols>
    <col min="1" max="1" width="54.6328125" customWidth="1"/>
    <col min="2" max="2" width="8.7265625" customWidth="1"/>
    <col min="3" max="3" width="69.08984375" customWidth="1"/>
    <col min="4" max="4" width="46.90625" customWidth="1"/>
  </cols>
  <sheetData>
    <row r="2" spans="1:7" ht="23">
      <c r="A2" s="262" t="s">
        <v>0</v>
      </c>
      <c r="B2" s="261"/>
      <c r="C2" s="261"/>
      <c r="D2" s="261"/>
      <c r="E2" s="261"/>
      <c r="F2" s="261"/>
      <c r="G2" s="261"/>
    </row>
    <row r="3" spans="1:7" ht="12.5">
      <c r="A3" s="1"/>
      <c r="B3" s="1"/>
      <c r="C3" s="1"/>
      <c r="D3" s="1"/>
      <c r="E3" s="2"/>
      <c r="F3" s="1"/>
      <c r="G3" s="1"/>
    </row>
    <row r="4" spans="1:7" ht="12.5">
      <c r="A4" s="1"/>
      <c r="B4" s="1"/>
      <c r="C4" s="1"/>
      <c r="D4" s="1"/>
      <c r="E4" s="2"/>
      <c r="F4" s="1"/>
      <c r="G4" s="1"/>
    </row>
    <row r="5" spans="1:7" ht="13">
      <c r="A5" s="3" t="s">
        <v>1</v>
      </c>
      <c r="B5" s="3" t="s">
        <v>2</v>
      </c>
      <c r="C5" s="3" t="s">
        <v>3</v>
      </c>
      <c r="D5" s="3" t="s">
        <v>4</v>
      </c>
      <c r="E5" s="4" t="s">
        <v>5</v>
      </c>
      <c r="F5" s="3" t="s">
        <v>6</v>
      </c>
      <c r="G5" s="3" t="s">
        <v>7</v>
      </c>
    </row>
    <row r="6" spans="1:7" ht="12.5">
      <c r="A6" s="1"/>
      <c r="B6" s="1"/>
      <c r="C6" s="1"/>
      <c r="D6" s="1"/>
      <c r="E6" s="2"/>
      <c r="F6" s="1"/>
      <c r="G6" s="1"/>
    </row>
    <row r="7" spans="1:7" ht="13">
      <c r="A7" s="5"/>
      <c r="B7" s="6">
        <v>1</v>
      </c>
      <c r="C7" s="7" t="s">
        <v>8</v>
      </c>
      <c r="D7" s="8" t="s">
        <v>9</v>
      </c>
      <c r="E7" s="9">
        <v>0.5</v>
      </c>
      <c r="F7" s="6" t="s">
        <v>10</v>
      </c>
      <c r="G7" s="10" t="s">
        <v>334</v>
      </c>
    </row>
    <row r="8" spans="1:7" ht="12.5">
      <c r="A8" s="263" t="s">
        <v>12</v>
      </c>
      <c r="B8" s="6">
        <v>2</v>
      </c>
      <c r="C8" s="7" t="s">
        <v>13</v>
      </c>
      <c r="D8" s="8" t="s">
        <v>14</v>
      </c>
      <c r="E8" s="9">
        <v>0.5</v>
      </c>
      <c r="F8" s="6" t="s">
        <v>15</v>
      </c>
      <c r="G8" s="10" t="s">
        <v>334</v>
      </c>
    </row>
    <row r="9" spans="1:7" ht="12.5">
      <c r="A9" s="261"/>
      <c r="B9" s="6">
        <v>3</v>
      </c>
      <c r="C9" s="7" t="s">
        <v>16</v>
      </c>
      <c r="D9" s="8" t="s">
        <v>17</v>
      </c>
      <c r="E9" s="9">
        <v>0.5</v>
      </c>
      <c r="F9" s="6" t="s">
        <v>18</v>
      </c>
      <c r="G9" s="1" t="s">
        <v>334</v>
      </c>
    </row>
    <row r="10" spans="1:7" ht="12.5">
      <c r="A10" s="261"/>
      <c r="B10" s="6">
        <v>4</v>
      </c>
      <c r="C10" s="7" t="s">
        <v>19</v>
      </c>
      <c r="D10" s="7"/>
      <c r="E10" s="9">
        <v>0.5</v>
      </c>
      <c r="F10" s="6" t="s">
        <v>18</v>
      </c>
      <c r="G10" s="1" t="s">
        <v>334</v>
      </c>
    </row>
    <row r="11" spans="1:7" ht="12.5">
      <c r="A11" s="261"/>
      <c r="B11" s="6">
        <v>5</v>
      </c>
      <c r="C11" s="7" t="s">
        <v>20</v>
      </c>
      <c r="D11" s="7"/>
      <c r="E11" s="9"/>
      <c r="F11" s="6"/>
      <c r="G11" s="1" t="s">
        <v>334</v>
      </c>
    </row>
    <row r="12" spans="1:7" ht="13">
      <c r="A12" s="5"/>
      <c r="B12" s="6"/>
      <c r="C12" s="7"/>
      <c r="D12" s="7"/>
      <c r="E12" s="9"/>
      <c r="F12" s="6"/>
      <c r="G12" s="1"/>
    </row>
    <row r="13" spans="1:7" ht="12.5">
      <c r="A13" s="1"/>
      <c r="B13" s="1"/>
      <c r="C13" s="1"/>
      <c r="D13" s="1"/>
      <c r="E13" s="2"/>
      <c r="F13" s="1"/>
      <c r="G13" s="1"/>
    </row>
    <row r="14" spans="1:7" ht="22.5" customHeight="1">
      <c r="A14" s="11"/>
      <c r="B14" s="12">
        <v>1</v>
      </c>
      <c r="C14" s="13" t="s">
        <v>8</v>
      </c>
      <c r="D14" s="14" t="s">
        <v>21</v>
      </c>
      <c r="E14" s="15">
        <v>0.5</v>
      </c>
      <c r="F14" s="12" t="s">
        <v>10</v>
      </c>
      <c r="G14" s="1" t="s">
        <v>11</v>
      </c>
    </row>
    <row r="15" spans="1:7" ht="22.5" customHeight="1">
      <c r="A15" s="264" t="s">
        <v>22</v>
      </c>
      <c r="B15" s="12">
        <v>2</v>
      </c>
      <c r="C15" s="13" t="s">
        <v>23</v>
      </c>
      <c r="D15" s="14" t="s">
        <v>24</v>
      </c>
      <c r="E15" s="15">
        <v>1</v>
      </c>
      <c r="F15" s="12" t="s">
        <v>15</v>
      </c>
      <c r="G15" s="1" t="s">
        <v>11</v>
      </c>
    </row>
    <row r="16" spans="1:7" ht="22.5" customHeight="1">
      <c r="A16" s="261"/>
      <c r="B16" s="12">
        <v>3</v>
      </c>
      <c r="C16" s="13" t="s">
        <v>25</v>
      </c>
      <c r="D16" s="14" t="s">
        <v>26</v>
      </c>
      <c r="E16" s="15">
        <v>0.5</v>
      </c>
      <c r="F16" s="12" t="s">
        <v>18</v>
      </c>
      <c r="G16" s="1" t="s">
        <v>11</v>
      </c>
    </row>
    <row r="17" spans="1:7" ht="22.5" customHeight="1">
      <c r="A17" s="261"/>
      <c r="B17" s="12">
        <v>4</v>
      </c>
      <c r="C17" s="13" t="s">
        <v>27</v>
      </c>
      <c r="D17" s="14" t="s">
        <v>28</v>
      </c>
      <c r="E17" s="15">
        <v>0.5</v>
      </c>
      <c r="F17" s="12" t="s">
        <v>18</v>
      </c>
      <c r="G17" s="1" t="s">
        <v>11</v>
      </c>
    </row>
    <row r="18" spans="1:7" ht="13">
      <c r="A18" s="11"/>
      <c r="B18" s="12">
        <v>5</v>
      </c>
      <c r="C18" s="13" t="s">
        <v>20</v>
      </c>
      <c r="D18" s="11"/>
      <c r="E18" s="11"/>
      <c r="F18" s="11"/>
      <c r="G18" s="1"/>
    </row>
    <row r="19" spans="1:7" ht="12.5">
      <c r="A19" s="1"/>
      <c r="B19" s="1"/>
      <c r="C19" s="1"/>
      <c r="D19" s="1"/>
      <c r="E19" s="2"/>
      <c r="F19" s="1"/>
      <c r="G19" s="1"/>
    </row>
    <row r="20" spans="1:7" ht="13">
      <c r="A20" s="16"/>
      <c r="B20" s="17">
        <v>1</v>
      </c>
      <c r="C20" s="18" t="s">
        <v>8</v>
      </c>
      <c r="D20" s="19" t="s">
        <v>29</v>
      </c>
      <c r="E20" s="20">
        <v>0.5</v>
      </c>
      <c r="F20" s="17" t="s">
        <v>10</v>
      </c>
      <c r="G20" s="1" t="s">
        <v>11</v>
      </c>
    </row>
    <row r="21" spans="1:7" ht="25">
      <c r="A21" s="265" t="s">
        <v>30</v>
      </c>
      <c r="B21" s="17">
        <v>2</v>
      </c>
      <c r="C21" s="18" t="s">
        <v>31</v>
      </c>
      <c r="D21" s="21" t="s">
        <v>32</v>
      </c>
      <c r="E21" s="20">
        <v>1</v>
      </c>
      <c r="F21" s="17" t="s">
        <v>15</v>
      </c>
      <c r="G21" s="1" t="s">
        <v>11</v>
      </c>
    </row>
    <row r="22" spans="1:7" ht="53.25" customHeight="1">
      <c r="A22" s="261"/>
      <c r="B22" s="266">
        <v>3</v>
      </c>
      <c r="C22" s="18" t="s">
        <v>33</v>
      </c>
      <c r="D22" s="21"/>
      <c r="E22" s="20">
        <v>1</v>
      </c>
      <c r="F22" s="17" t="s">
        <v>18</v>
      </c>
      <c r="G22" s="1" t="s">
        <v>11</v>
      </c>
    </row>
    <row r="23" spans="1:7" ht="12.5">
      <c r="A23" s="261"/>
      <c r="B23" s="261"/>
      <c r="C23" s="22" t="s">
        <v>34</v>
      </c>
      <c r="D23" s="19" t="s">
        <v>35</v>
      </c>
      <c r="E23" s="20"/>
      <c r="F23" s="17"/>
      <c r="G23" s="1" t="s">
        <v>11</v>
      </c>
    </row>
    <row r="24" spans="1:7" ht="12.5">
      <c r="A24" s="261"/>
      <c r="B24" s="261"/>
      <c r="C24" s="22" t="s">
        <v>36</v>
      </c>
      <c r="D24" s="19" t="s">
        <v>37</v>
      </c>
      <c r="E24" s="20"/>
      <c r="F24" s="17"/>
      <c r="G24" s="1" t="s">
        <v>11</v>
      </c>
    </row>
    <row r="25" spans="1:7" ht="25">
      <c r="A25" s="261"/>
      <c r="B25" s="17">
        <v>4</v>
      </c>
      <c r="C25" s="18" t="s">
        <v>38</v>
      </c>
      <c r="D25" s="21"/>
      <c r="E25" s="20">
        <v>0.5</v>
      </c>
      <c r="F25" s="17" t="s">
        <v>18</v>
      </c>
      <c r="G25" s="1" t="s">
        <v>11</v>
      </c>
    </row>
    <row r="26" spans="1:7" ht="12.5">
      <c r="A26" s="22"/>
      <c r="B26" s="17">
        <v>5</v>
      </c>
      <c r="C26" s="23" t="s">
        <v>20</v>
      </c>
      <c r="D26" s="21"/>
      <c r="E26" s="20">
        <v>0.5</v>
      </c>
      <c r="F26" s="17" t="s">
        <v>18</v>
      </c>
      <c r="G26" s="1" t="s">
        <v>11</v>
      </c>
    </row>
    <row r="27" spans="1:7" ht="12.5">
      <c r="A27" s="1"/>
      <c r="B27" s="1"/>
      <c r="C27" s="1"/>
      <c r="D27" s="1"/>
      <c r="E27" s="2"/>
      <c r="F27" s="1"/>
      <c r="G27" s="1"/>
    </row>
    <row r="28" spans="1:7" ht="12.5">
      <c r="A28" s="1"/>
      <c r="B28" s="1"/>
      <c r="C28" s="1"/>
      <c r="D28" s="1"/>
      <c r="E28" s="2"/>
      <c r="F28" s="1"/>
      <c r="G28" s="1"/>
    </row>
    <row r="29" spans="1:7" ht="13">
      <c r="A29" s="24"/>
      <c r="B29" s="25">
        <v>1</v>
      </c>
      <c r="C29" s="26" t="s">
        <v>8</v>
      </c>
      <c r="D29" s="27" t="s">
        <v>39</v>
      </c>
      <c r="E29" s="28">
        <v>0.5</v>
      </c>
      <c r="F29" s="25" t="s">
        <v>10</v>
      </c>
      <c r="G29" s="1" t="s">
        <v>11</v>
      </c>
    </row>
    <row r="30" spans="1:7" ht="37.5">
      <c r="A30" s="267" t="s">
        <v>40</v>
      </c>
      <c r="B30" s="268">
        <v>2</v>
      </c>
      <c r="C30" s="26" t="s">
        <v>41</v>
      </c>
      <c r="D30" s="29"/>
      <c r="E30" s="28">
        <v>1</v>
      </c>
      <c r="F30" s="25" t="s">
        <v>15</v>
      </c>
      <c r="G30" s="1" t="s">
        <v>11</v>
      </c>
    </row>
    <row r="31" spans="1:7" ht="12.5">
      <c r="A31" s="261"/>
      <c r="B31" s="261"/>
      <c r="C31" s="30" t="s">
        <v>34</v>
      </c>
      <c r="D31" s="27" t="s">
        <v>42</v>
      </c>
      <c r="E31" s="28"/>
      <c r="F31" s="25"/>
      <c r="G31" s="1" t="s">
        <v>11</v>
      </c>
    </row>
    <row r="32" spans="1:7" ht="12.5">
      <c r="A32" s="261"/>
      <c r="B32" s="261"/>
      <c r="C32" s="30" t="s">
        <v>36</v>
      </c>
      <c r="D32" s="27" t="s">
        <v>43</v>
      </c>
      <c r="E32" s="28"/>
      <c r="F32" s="25"/>
      <c r="G32" s="1" t="s">
        <v>11</v>
      </c>
    </row>
    <row r="33" spans="1:7" ht="37.5">
      <c r="A33" s="261"/>
      <c r="B33" s="25">
        <v>3</v>
      </c>
      <c r="C33" s="26" t="s">
        <v>44</v>
      </c>
      <c r="D33" s="29"/>
      <c r="E33" s="28">
        <v>1</v>
      </c>
      <c r="F33" s="25" t="s">
        <v>18</v>
      </c>
      <c r="G33" s="1" t="s">
        <v>11</v>
      </c>
    </row>
    <row r="34" spans="1:7" ht="13">
      <c r="A34" s="24"/>
      <c r="B34" s="28">
        <v>4</v>
      </c>
      <c r="C34" s="31" t="s">
        <v>20</v>
      </c>
      <c r="D34" s="24"/>
      <c r="E34" s="24"/>
      <c r="F34" s="24"/>
      <c r="G34" s="1" t="s">
        <v>11</v>
      </c>
    </row>
    <row r="35" spans="1:7" ht="12.5">
      <c r="A35" s="1"/>
      <c r="B35" s="1"/>
      <c r="C35" s="1"/>
      <c r="D35" s="1"/>
      <c r="E35" s="2"/>
      <c r="F35" s="1"/>
      <c r="G35" s="1"/>
    </row>
    <row r="36" spans="1:7" ht="13">
      <c r="A36" s="32"/>
      <c r="B36" s="33">
        <v>1</v>
      </c>
      <c r="C36" s="34" t="s">
        <v>8</v>
      </c>
      <c r="D36" s="35" t="s">
        <v>45</v>
      </c>
      <c r="E36" s="36">
        <v>0.5</v>
      </c>
      <c r="F36" s="33" t="s">
        <v>10</v>
      </c>
      <c r="G36" s="1" t="s">
        <v>11</v>
      </c>
    </row>
    <row r="37" spans="1:7" ht="25">
      <c r="A37" s="269" t="s">
        <v>46</v>
      </c>
      <c r="B37" s="33">
        <v>2</v>
      </c>
      <c r="C37" s="34" t="s">
        <v>47</v>
      </c>
      <c r="D37" s="270"/>
      <c r="E37" s="36">
        <v>1</v>
      </c>
      <c r="F37" s="33" t="s">
        <v>15</v>
      </c>
      <c r="G37" s="1" t="s">
        <v>11</v>
      </c>
    </row>
    <row r="38" spans="1:7" ht="25">
      <c r="A38" s="261"/>
      <c r="B38" s="33">
        <v>3</v>
      </c>
      <c r="C38" s="34" t="s">
        <v>48</v>
      </c>
      <c r="D38" s="261"/>
      <c r="E38" s="36">
        <v>1</v>
      </c>
      <c r="F38" s="33" t="s">
        <v>18</v>
      </c>
      <c r="G38" s="1" t="s">
        <v>11</v>
      </c>
    </row>
    <row r="39" spans="1:7" ht="12.5">
      <c r="A39" s="33"/>
      <c r="B39" s="33">
        <v>4</v>
      </c>
      <c r="C39" s="37" t="s">
        <v>20</v>
      </c>
      <c r="D39" s="1"/>
      <c r="E39" s="2"/>
      <c r="F39" s="1"/>
      <c r="G39" s="1"/>
    </row>
    <row r="40" spans="1:7" ht="12.5">
      <c r="A40" s="1"/>
      <c r="B40" s="1"/>
      <c r="C40" s="1"/>
      <c r="D40" s="1"/>
      <c r="E40" s="2"/>
      <c r="F40" s="1"/>
      <c r="G40" s="1"/>
    </row>
    <row r="41" spans="1:7" ht="15.5">
      <c r="A41" s="38" t="s">
        <v>49</v>
      </c>
      <c r="B41" s="271" t="s">
        <v>50</v>
      </c>
      <c r="C41" s="261"/>
      <c r="D41" s="261"/>
      <c r="E41" s="261"/>
      <c r="F41" s="261"/>
      <c r="G41" s="261"/>
    </row>
    <row r="42" spans="1:7" ht="12.5">
      <c r="A42" s="1"/>
      <c r="B42" s="1"/>
      <c r="C42" s="1"/>
      <c r="D42" s="1"/>
      <c r="E42" s="2"/>
      <c r="F42" s="1"/>
      <c r="G42" s="1"/>
    </row>
    <row r="43" spans="1:7" ht="12.5">
      <c r="A43" s="39"/>
      <c r="B43" s="40">
        <v>1</v>
      </c>
      <c r="C43" s="41" t="s">
        <v>8</v>
      </c>
      <c r="D43" s="42" t="s">
        <v>51</v>
      </c>
      <c r="E43" s="43">
        <v>0.5</v>
      </c>
      <c r="F43" s="39"/>
      <c r="G43" s="1" t="s">
        <v>11</v>
      </c>
    </row>
    <row r="44" spans="1:7" ht="25">
      <c r="A44" s="272" t="s">
        <v>52</v>
      </c>
      <c r="B44" s="40">
        <v>2</v>
      </c>
      <c r="C44" s="41" t="s">
        <v>53</v>
      </c>
      <c r="D44" s="45"/>
      <c r="E44" s="43">
        <v>0.5</v>
      </c>
      <c r="F44" s="39"/>
      <c r="G44" s="1" t="s">
        <v>11</v>
      </c>
    </row>
    <row r="45" spans="1:7" ht="37.5">
      <c r="A45" s="261"/>
      <c r="B45" s="40">
        <v>3</v>
      </c>
      <c r="C45" s="41" t="s">
        <v>54</v>
      </c>
      <c r="D45" s="273" t="s">
        <v>55</v>
      </c>
      <c r="E45" s="43">
        <v>0.5</v>
      </c>
      <c r="F45" s="39"/>
      <c r="G45" s="1" t="s">
        <v>11</v>
      </c>
    </row>
    <row r="46" spans="1:7" ht="50">
      <c r="A46" s="261"/>
      <c r="B46" s="40">
        <v>4</v>
      </c>
      <c r="C46" s="41" t="s">
        <v>56</v>
      </c>
      <c r="D46" s="261"/>
      <c r="E46" s="43">
        <v>0.5</v>
      </c>
      <c r="F46" s="39"/>
      <c r="G46" s="1" t="s">
        <v>11</v>
      </c>
    </row>
    <row r="47" spans="1:7" ht="37.5">
      <c r="A47" s="261"/>
      <c r="B47" s="40">
        <v>5</v>
      </c>
      <c r="C47" s="41" t="s">
        <v>57</v>
      </c>
      <c r="D47" s="42" t="s">
        <v>58</v>
      </c>
      <c r="E47" s="43">
        <v>1</v>
      </c>
      <c r="F47" s="39"/>
      <c r="G47" s="1" t="s">
        <v>11</v>
      </c>
    </row>
    <row r="48" spans="1:7" ht="13">
      <c r="A48" s="44"/>
      <c r="B48" s="40"/>
      <c r="C48" s="41" t="s">
        <v>20</v>
      </c>
      <c r="D48" s="40"/>
      <c r="E48" s="43"/>
      <c r="F48" s="39"/>
      <c r="G48" s="1" t="s">
        <v>11</v>
      </c>
    </row>
    <row r="51" spans="1:7" ht="13">
      <c r="A51" s="46"/>
      <c r="B51" s="47">
        <v>1</v>
      </c>
      <c r="C51" s="48" t="s">
        <v>8</v>
      </c>
      <c r="D51" s="49" t="s">
        <v>59</v>
      </c>
      <c r="E51" s="50">
        <v>0.5</v>
      </c>
      <c r="F51" s="51"/>
      <c r="G51" s="1" t="s">
        <v>11</v>
      </c>
    </row>
    <row r="52" spans="1:7" ht="37.5">
      <c r="A52" s="260" t="s">
        <v>60</v>
      </c>
      <c r="B52" s="47">
        <v>2</v>
      </c>
      <c r="C52" s="48" t="s">
        <v>61</v>
      </c>
      <c r="D52" s="49" t="s">
        <v>62</v>
      </c>
      <c r="E52" s="50">
        <v>0.5</v>
      </c>
      <c r="F52" s="51"/>
      <c r="G52" s="1" t="s">
        <v>11</v>
      </c>
    </row>
    <row r="53" spans="1:7" ht="37.5">
      <c r="A53" s="261"/>
      <c r="B53" s="47">
        <v>3</v>
      </c>
      <c r="C53" s="48" t="s">
        <v>63</v>
      </c>
      <c r="D53" s="49" t="s">
        <v>64</v>
      </c>
      <c r="E53" s="50">
        <v>0.5</v>
      </c>
      <c r="F53" s="51"/>
      <c r="G53" s="1" t="s">
        <v>11</v>
      </c>
    </row>
    <row r="54" spans="1:7" ht="25">
      <c r="A54" s="261"/>
      <c r="B54" s="47">
        <v>4</v>
      </c>
      <c r="C54" s="48" t="s">
        <v>65</v>
      </c>
      <c r="D54" s="52"/>
      <c r="E54" s="50">
        <v>0.5</v>
      </c>
      <c r="F54" s="51"/>
      <c r="G54" s="1" t="s">
        <v>11</v>
      </c>
    </row>
    <row r="55" spans="1:7" ht="13">
      <c r="A55" s="46"/>
      <c r="B55" s="47"/>
      <c r="C55" s="48" t="s">
        <v>20</v>
      </c>
      <c r="D55" s="52"/>
      <c r="E55" s="50"/>
      <c r="F55" s="51"/>
      <c r="G55" s="1" t="s">
        <v>11</v>
      </c>
    </row>
    <row r="56" spans="1:7" ht="12.5">
      <c r="A56" s="1"/>
      <c r="B56" s="1"/>
      <c r="C56" s="1"/>
      <c r="D56" s="1"/>
      <c r="E56" s="2"/>
      <c r="F56" s="1"/>
      <c r="G56" s="1"/>
    </row>
    <row r="57" spans="1:7" ht="25">
      <c r="A57" s="53" t="s">
        <v>66</v>
      </c>
      <c r="B57" s="54">
        <v>17</v>
      </c>
      <c r="C57" s="55" t="s">
        <v>67</v>
      </c>
      <c r="D57" s="56" t="s">
        <v>68</v>
      </c>
      <c r="E57" s="57">
        <v>1</v>
      </c>
      <c r="F57" s="58"/>
      <c r="G57" s="1" t="s">
        <v>11</v>
      </c>
    </row>
  </sheetData>
  <mergeCells count="13">
    <mergeCell ref="A52:A54"/>
    <mergeCell ref="A2:G2"/>
    <mergeCell ref="A8:A11"/>
    <mergeCell ref="A15:A17"/>
    <mergeCell ref="A21:A25"/>
    <mergeCell ref="B22:B24"/>
    <mergeCell ref="A30:A33"/>
    <mergeCell ref="B30:B32"/>
    <mergeCell ref="A37:A38"/>
    <mergeCell ref="D37:D38"/>
    <mergeCell ref="B41:G41"/>
    <mergeCell ref="A44:A47"/>
    <mergeCell ref="D45:D46"/>
  </mergeCells>
  <dataValidations count="1">
    <dataValidation type="list" allowBlank="1" showErrorMessage="1" sqref="G7:G12 G14:G17 G20:G26 G29:G34 G36:G38 G43:G48 G51:G55 G57" xr:uid="{00000000-0002-0000-0000-000000000000}">
      <formula1>"COMPLETADA,PENDIENTE,EN PROCESO"</formula1>
    </dataValidation>
  </dataValidations>
  <hyperlinks>
    <hyperlink ref="D7" location="'SEMANA 1'!A1" display="SEMANA 1" xr:uid="{00000000-0004-0000-0000-000000000000}"/>
    <hyperlink ref="D8" location="'Glosario de Conceptos Básicos'!A1" display="Glosario de Conceptos Básicos" xr:uid="{00000000-0004-0000-0000-000001000000}"/>
    <hyperlink ref="D9" location="'Cuestionario de Salud Financier'!A1" display="Cuestionario de Salud Financiera" xr:uid="{00000000-0004-0000-0000-000002000000}"/>
    <hyperlink ref="D14" location="'SEMANA 2'!A1" display="SEMANA 2" xr:uid="{00000000-0004-0000-0000-000003000000}"/>
    <hyperlink ref="D15" location="'1 GASTOS'!A1" display="1 GASTOS" xr:uid="{00000000-0004-0000-0000-000004000000}"/>
    <hyperlink ref="D16" location="'2 INGRESOS'!A1" display="2 INGRESOS" xr:uid="{00000000-0004-0000-0000-000005000000}"/>
    <hyperlink ref="D17" location="'3 COMPENSACIÓN'!A1" display="3 COMPENSACIÓN" xr:uid="{00000000-0004-0000-0000-000006000000}"/>
    <hyperlink ref="D20" location="'SEMANA 3'!A1" display="SEMANA 3" xr:uid="{00000000-0004-0000-0000-000007000000}"/>
    <hyperlink ref="D21" r:id="rId1" xr:uid="{00000000-0004-0000-0000-000008000000}"/>
    <hyperlink ref="D23" location="'4 DISTRIBUCIÓN AL AZAR -NEGOCIO'!A1" display="4 DISTRIBUCIÓN AL AZAR - NEGOCIOS DE PRODUCTOS" xr:uid="{00000000-0004-0000-0000-000009000000}"/>
    <hyperlink ref="D24" location="'4 DISTRIBUCIÓN AL AZAR-NEGOCIO '!A1" display="4 DISTRIBUCIÓN AL AZAR - NEGOCIOS DE SERVICIOS" xr:uid="{00000000-0004-0000-0000-00000A000000}"/>
    <hyperlink ref="D29" location="'SEMANA 4'!A1" display="SEMANA 4" xr:uid="{00000000-0004-0000-0000-00000B000000}"/>
    <hyperlink ref="D31" location="'5 META DE DISTRIBUCIÓN - NEGOCI'!A1" display="5 METAS DE DISTRIBUCIÓN - NEGOCIOS DE PRODUCTOS" xr:uid="{00000000-0004-0000-0000-00000C000000}"/>
    <hyperlink ref="D32" location="'Hoja 18'!A1" display="5 METAS DE DISTRIBUCIÓN - NEGOCIOS DE SERVICIOS" xr:uid="{00000000-0004-0000-0000-00000D000000}"/>
    <hyperlink ref="D36" location="'SEMANA 5'!A1" display="SEMANA 5" xr:uid="{00000000-0004-0000-0000-00000E000000}"/>
    <hyperlink ref="D43" location="'SEMANA 6'!A1" display="SEMANA 6" xr:uid="{00000000-0004-0000-0000-00000F000000}"/>
    <hyperlink ref="D45" location="'6 REDUCCIÓN DE GASTOS'!A1" display="6 REDUCCIÓN DE GASTOS" xr:uid="{00000000-0004-0000-0000-000010000000}"/>
    <hyperlink ref="D47" r:id="rId2" xr:uid="{00000000-0004-0000-0000-000011000000}"/>
    <hyperlink ref="D51" location="'SEMANA 7'!A1" display="SEMANA 7" xr:uid="{00000000-0004-0000-0000-000012000000}"/>
    <hyperlink ref="D52" location="'7 CUÁNTO VENDER AL DÍA'!A1" display="7 CUÁNTO VENDER AL DÍA" xr:uid="{00000000-0004-0000-0000-000013000000}"/>
    <hyperlink ref="D53" location="'8 TICKET MEDIO'!A1" display="8 TICKET MEDIO" xr:uid="{00000000-0004-0000-0000-000014000000}"/>
    <hyperlink ref="D57" location="'ESTRATEGIAS EXTRAS'!A1" display="ESTRATEGIAS EXTRAS" xr:uid="{00000000-0004-0000-0000-000015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baseColWidth="10" defaultColWidth="12.6328125" defaultRowHeight="15.75" customHeight="1"/>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1:D22"/>
  <sheetViews>
    <sheetView topLeftCell="A10" workbookViewId="0">
      <selection activeCell="C21" sqref="C21"/>
    </sheetView>
  </sheetViews>
  <sheetFormatPr baseColWidth="10" defaultColWidth="12.6328125" defaultRowHeight="15.75" customHeight="1"/>
  <cols>
    <col min="2" max="2" width="25.08984375" customWidth="1"/>
    <col min="3" max="3" width="90.7265625" customWidth="1"/>
    <col min="4" max="4" width="62.453125" bestFit="1" customWidth="1"/>
  </cols>
  <sheetData>
    <row r="1" spans="2:4" ht="18">
      <c r="B1" s="274" t="s">
        <v>69</v>
      </c>
      <c r="C1" s="261"/>
      <c r="D1" s="1"/>
    </row>
    <row r="2" spans="2:4" ht="12.5">
      <c r="B2" s="1"/>
      <c r="C2" s="1"/>
      <c r="D2" s="1"/>
    </row>
    <row r="3" spans="2:4" ht="15.5">
      <c r="B3" s="60" t="s">
        <v>70</v>
      </c>
      <c r="C3" s="61" t="s">
        <v>71</v>
      </c>
      <c r="D3" s="1"/>
    </row>
    <row r="4" spans="2:4" ht="46.5" customHeight="1">
      <c r="B4" s="62" t="s">
        <v>72</v>
      </c>
      <c r="C4" s="63" t="s">
        <v>73</v>
      </c>
      <c r="D4" s="1"/>
    </row>
    <row r="5" spans="2:4" ht="46.5" customHeight="1">
      <c r="B5" s="62" t="s">
        <v>74</v>
      </c>
      <c r="C5" s="63" t="s">
        <v>75</v>
      </c>
      <c r="D5" s="1"/>
    </row>
    <row r="6" spans="2:4" ht="46.5" customHeight="1">
      <c r="B6" s="62" t="s">
        <v>76</v>
      </c>
      <c r="C6" s="63" t="s">
        <v>77</v>
      </c>
      <c r="D6" s="1"/>
    </row>
    <row r="7" spans="2:4" ht="46.5" customHeight="1">
      <c r="B7" s="62" t="s">
        <v>78</v>
      </c>
      <c r="C7" s="63" t="s">
        <v>79</v>
      </c>
      <c r="D7" s="217" t="s">
        <v>333</v>
      </c>
    </row>
    <row r="8" spans="2:4" ht="46.5" customHeight="1">
      <c r="B8" s="62" t="s">
        <v>80</v>
      </c>
      <c r="C8" s="63" t="s">
        <v>81</v>
      </c>
      <c r="D8" s="217"/>
    </row>
    <row r="9" spans="2:4" ht="46.5" customHeight="1">
      <c r="B9" s="62" t="s">
        <v>82</v>
      </c>
      <c r="C9" s="63" t="s">
        <v>83</v>
      </c>
      <c r="D9" s="1"/>
    </row>
    <row r="10" spans="2:4" ht="46.5" customHeight="1">
      <c r="B10" s="62" t="s">
        <v>84</v>
      </c>
      <c r="C10" s="63" t="s">
        <v>85</v>
      </c>
      <c r="D10" s="1"/>
    </row>
    <row r="11" spans="2:4" ht="46.5" customHeight="1">
      <c r="B11" s="62" t="s">
        <v>86</v>
      </c>
      <c r="C11" s="63" t="s">
        <v>87</v>
      </c>
      <c r="D11" s="1"/>
    </row>
    <row r="12" spans="2:4" ht="46.5" customHeight="1">
      <c r="B12" s="62" t="s">
        <v>88</v>
      </c>
      <c r="C12" s="63" t="s">
        <v>89</v>
      </c>
      <c r="D12" s="1"/>
    </row>
    <row r="13" spans="2:4" ht="46.5" customHeight="1">
      <c r="B13" s="62" t="s">
        <v>90</v>
      </c>
      <c r="C13" s="63" t="s">
        <v>91</v>
      </c>
      <c r="D13" s="1"/>
    </row>
    <row r="14" spans="2:4" ht="46.5" customHeight="1">
      <c r="B14" s="62" t="s">
        <v>92</v>
      </c>
      <c r="C14" s="63" t="s">
        <v>93</v>
      </c>
      <c r="D14" s="1"/>
    </row>
    <row r="15" spans="2:4" ht="46.5" customHeight="1">
      <c r="B15" s="62" t="s">
        <v>94</v>
      </c>
      <c r="C15" s="63" t="s">
        <v>95</v>
      </c>
      <c r="D15" s="1"/>
    </row>
    <row r="16" spans="2:4" ht="46.5" customHeight="1">
      <c r="B16" s="62" t="s">
        <v>96</v>
      </c>
      <c r="C16" s="63" t="s">
        <v>97</v>
      </c>
      <c r="D16" s="1"/>
    </row>
    <row r="17" spans="2:4" ht="46.5" customHeight="1">
      <c r="B17" s="62" t="s">
        <v>98</v>
      </c>
      <c r="C17" s="63" t="s">
        <v>99</v>
      </c>
      <c r="D17" s="1"/>
    </row>
    <row r="18" spans="2:4" ht="46.5" customHeight="1">
      <c r="B18" s="62" t="s">
        <v>100</v>
      </c>
      <c r="C18" s="63" t="s">
        <v>101</v>
      </c>
      <c r="D18" s="1"/>
    </row>
    <row r="19" spans="2:4" ht="46.5" customHeight="1">
      <c r="B19" s="62" t="s">
        <v>102</v>
      </c>
      <c r="C19" s="63" t="s">
        <v>103</v>
      </c>
      <c r="D19" s="1"/>
    </row>
    <row r="20" spans="2:4" ht="46.5" customHeight="1">
      <c r="B20" s="62" t="s">
        <v>104</v>
      </c>
      <c r="C20" s="63" t="s">
        <v>105</v>
      </c>
      <c r="D20" s="1"/>
    </row>
    <row r="21" spans="2:4" ht="46.5" customHeight="1">
      <c r="B21" s="62" t="s">
        <v>106</v>
      </c>
      <c r="C21" s="63" t="s">
        <v>107</v>
      </c>
      <c r="D21" s="1"/>
    </row>
    <row r="22" spans="2:4" ht="46.5" customHeight="1">
      <c r="B22" s="62" t="s">
        <v>108</v>
      </c>
      <c r="C22" s="63" t="s">
        <v>109</v>
      </c>
      <c r="D22" s="1"/>
    </row>
  </sheetData>
  <mergeCells count="1">
    <mergeCell ref="B1:C1"/>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sheetPr>
  <dimension ref="B2:D43"/>
  <sheetViews>
    <sheetView topLeftCell="A19" workbookViewId="0">
      <selection activeCell="E34" sqref="E34"/>
    </sheetView>
  </sheetViews>
  <sheetFormatPr baseColWidth="10" defaultColWidth="12.6328125" defaultRowHeight="15.75" customHeight="1"/>
  <cols>
    <col min="2" max="2" width="90.08984375" customWidth="1"/>
    <col min="3" max="3" width="16.90625" customWidth="1"/>
  </cols>
  <sheetData>
    <row r="2" spans="2:4" ht="15.75" customHeight="1">
      <c r="B2" s="275" t="s">
        <v>110</v>
      </c>
      <c r="C2" s="276"/>
      <c r="D2" s="1"/>
    </row>
    <row r="3" spans="2:4" ht="15.75" customHeight="1">
      <c r="B3" s="1"/>
      <c r="C3" s="64"/>
      <c r="D3" s="1"/>
    </row>
    <row r="4" spans="2:4" ht="15.75" customHeight="1">
      <c r="B4" s="277" t="s">
        <v>111</v>
      </c>
      <c r="C4" s="278"/>
      <c r="D4" s="1"/>
    </row>
    <row r="5" spans="2:4" ht="15.75" customHeight="1">
      <c r="B5" s="1"/>
      <c r="C5" s="64"/>
      <c r="D5" s="1"/>
    </row>
    <row r="6" spans="2:4" ht="15.75" customHeight="1">
      <c r="B6" s="65" t="s">
        <v>112</v>
      </c>
      <c r="C6" s="64"/>
      <c r="D6" s="1"/>
    </row>
    <row r="7" spans="2:4" ht="15.75" customHeight="1">
      <c r="B7" s="1"/>
      <c r="C7" s="64"/>
      <c r="D7" s="1"/>
    </row>
    <row r="8" spans="2:4" ht="15.75" customHeight="1">
      <c r="B8" s="65" t="s">
        <v>113</v>
      </c>
      <c r="C8" s="64"/>
      <c r="D8" s="1"/>
    </row>
    <row r="9" spans="2:4" ht="15.75" customHeight="1">
      <c r="B9" s="65" t="s">
        <v>114</v>
      </c>
      <c r="C9" s="64"/>
      <c r="D9" s="1"/>
    </row>
    <row r="10" spans="2:4" ht="15.75" customHeight="1">
      <c r="B10" s="65" t="s">
        <v>115</v>
      </c>
      <c r="C10" s="64"/>
      <c r="D10" s="1"/>
    </row>
    <row r="11" spans="2:4" ht="15.75" customHeight="1">
      <c r="B11" s="1"/>
      <c r="C11" s="64"/>
      <c r="D11" s="1"/>
    </row>
    <row r="12" spans="2:4" ht="15.75" customHeight="1">
      <c r="B12" s="65" t="s">
        <v>116</v>
      </c>
      <c r="C12" s="64"/>
      <c r="D12" s="1"/>
    </row>
    <row r="13" spans="2:4" ht="15.75" customHeight="1">
      <c r="B13" s="1"/>
      <c r="C13" s="64"/>
      <c r="D13" s="1"/>
    </row>
    <row r="14" spans="2:4" ht="15.75" customHeight="1">
      <c r="B14" s="66" t="s">
        <v>117</v>
      </c>
      <c r="C14" s="67" t="s">
        <v>118</v>
      </c>
      <c r="D14" s="1"/>
    </row>
    <row r="15" spans="2:4" ht="15.75" customHeight="1">
      <c r="B15" s="68" t="s">
        <v>119</v>
      </c>
      <c r="C15" s="69">
        <v>3</v>
      </c>
      <c r="D15" s="1"/>
    </row>
    <row r="16" spans="2:4" ht="15.75" customHeight="1">
      <c r="B16" s="68" t="s">
        <v>120</v>
      </c>
      <c r="C16" s="69">
        <v>3</v>
      </c>
      <c r="D16" s="1"/>
    </row>
    <row r="17" spans="2:4" ht="15.75" customHeight="1">
      <c r="B17" s="68" t="s">
        <v>121</v>
      </c>
      <c r="C17" s="69">
        <v>3</v>
      </c>
      <c r="D17" s="1"/>
    </row>
    <row r="18" spans="2:4" ht="15.75" customHeight="1">
      <c r="B18" s="220" t="s">
        <v>122</v>
      </c>
      <c r="C18" s="218">
        <v>1</v>
      </c>
      <c r="D18" s="1"/>
    </row>
    <row r="19" spans="2:4" ht="15.75" customHeight="1">
      <c r="B19" s="220" t="s">
        <v>123</v>
      </c>
      <c r="C19" s="218">
        <v>1</v>
      </c>
      <c r="D19" s="1"/>
    </row>
    <row r="20" spans="2:4" ht="15.5">
      <c r="B20" s="68" t="s">
        <v>124</v>
      </c>
      <c r="C20" s="219">
        <v>2</v>
      </c>
      <c r="D20" s="1"/>
    </row>
    <row r="21" spans="2:4" ht="15.5">
      <c r="B21" s="220" t="s">
        <v>125</v>
      </c>
      <c r="C21" s="218">
        <v>1</v>
      </c>
      <c r="D21" s="1"/>
    </row>
    <row r="22" spans="2:4" ht="15.5">
      <c r="B22" s="220" t="s">
        <v>126</v>
      </c>
      <c r="C22" s="218">
        <v>1</v>
      </c>
      <c r="D22" s="1"/>
    </row>
    <row r="23" spans="2:4" ht="15.5">
      <c r="B23" s="220" t="s">
        <v>127</v>
      </c>
      <c r="C23" s="218">
        <v>1</v>
      </c>
      <c r="D23" s="1"/>
    </row>
    <row r="24" spans="2:4" ht="15.5">
      <c r="B24" s="68" t="s">
        <v>128</v>
      </c>
      <c r="C24" s="69">
        <v>3</v>
      </c>
      <c r="D24" s="1"/>
    </row>
    <row r="25" spans="2:4" ht="15.5">
      <c r="B25" s="220" t="s">
        <v>129</v>
      </c>
      <c r="C25" s="218">
        <v>1</v>
      </c>
      <c r="D25" s="1"/>
    </row>
    <row r="26" spans="2:4" ht="15.5">
      <c r="B26" s="68" t="s">
        <v>130</v>
      </c>
      <c r="C26" s="69">
        <v>3</v>
      </c>
      <c r="D26" s="1"/>
    </row>
    <row r="27" spans="2:4" ht="15.5">
      <c r="B27" s="68" t="s">
        <v>131</v>
      </c>
      <c r="C27" s="69">
        <v>3</v>
      </c>
      <c r="D27" s="1"/>
    </row>
    <row r="28" spans="2:4" ht="15.5">
      <c r="B28" s="220" t="s">
        <v>132</v>
      </c>
      <c r="C28" s="218">
        <v>1</v>
      </c>
      <c r="D28" s="1"/>
    </row>
    <row r="29" spans="2:4" ht="15.5">
      <c r="B29" s="68" t="s">
        <v>133</v>
      </c>
      <c r="C29" s="69">
        <v>3</v>
      </c>
      <c r="D29" s="1"/>
    </row>
    <row r="30" spans="2:4" ht="15.5">
      <c r="B30" s="68" t="s">
        <v>134</v>
      </c>
      <c r="C30" s="69">
        <v>3</v>
      </c>
      <c r="D30" s="1"/>
    </row>
    <row r="31" spans="2:4" ht="15.5">
      <c r="B31" s="68" t="s">
        <v>135</v>
      </c>
      <c r="C31" s="69">
        <v>3</v>
      </c>
      <c r="D31" s="70" t="s">
        <v>136</v>
      </c>
    </row>
    <row r="32" spans="2:4" ht="15.5">
      <c r="B32" s="68" t="s">
        <v>137</v>
      </c>
      <c r="C32" s="69">
        <v>3</v>
      </c>
      <c r="D32" s="1"/>
    </row>
    <row r="33" spans="2:4" ht="15.5">
      <c r="B33" s="65" t="s">
        <v>335</v>
      </c>
      <c r="C33" s="64"/>
      <c r="D33" s="1"/>
    </row>
    <row r="34" spans="2:4" ht="21">
      <c r="B34" s="71" t="s">
        <v>138</v>
      </c>
      <c r="C34" s="72">
        <f>SUM(C15:C32)</f>
        <v>39</v>
      </c>
      <c r="D34" s="1"/>
    </row>
    <row r="35" spans="2:4" ht="12.5">
      <c r="B35" s="1"/>
      <c r="C35" s="64"/>
      <c r="D35" s="1"/>
    </row>
    <row r="36" spans="2:4" ht="12.5">
      <c r="B36" s="277" t="s">
        <v>139</v>
      </c>
      <c r="C36" s="278"/>
      <c r="D36" s="1"/>
    </row>
    <row r="37" spans="2:4" ht="12.5">
      <c r="B37" s="1"/>
      <c r="C37" s="64"/>
      <c r="D37" s="1"/>
    </row>
    <row r="38" spans="2:4" ht="15.5">
      <c r="B38" s="73" t="s">
        <v>140</v>
      </c>
      <c r="C38" s="74"/>
      <c r="D38" s="1"/>
    </row>
    <row r="39" spans="2:4" ht="15.5">
      <c r="B39" s="73" t="s">
        <v>141</v>
      </c>
      <c r="C39" s="74"/>
      <c r="D39" s="1"/>
    </row>
    <row r="40" spans="2:4" ht="15.5">
      <c r="B40" s="73" t="s">
        <v>142</v>
      </c>
      <c r="C40" s="74"/>
      <c r="D40" s="1"/>
    </row>
    <row r="41" spans="2:4" ht="12.5">
      <c r="B41" s="1"/>
      <c r="C41" s="64"/>
      <c r="D41" s="1"/>
    </row>
    <row r="42" spans="2:4" ht="12.5">
      <c r="B42" s="1"/>
      <c r="C42" s="64"/>
      <c r="D42" s="1"/>
    </row>
    <row r="43" spans="2:4" ht="12.5">
      <c r="B43" s="277" t="s">
        <v>143</v>
      </c>
      <c r="C43" s="278"/>
      <c r="D43" s="1"/>
    </row>
  </sheetData>
  <mergeCells count="4">
    <mergeCell ref="B2:C2"/>
    <mergeCell ref="B4:C4"/>
    <mergeCell ref="B36:C36"/>
    <mergeCell ref="B43:C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
  <sheetViews>
    <sheetView workbookViewId="0"/>
  </sheetViews>
  <sheetFormatPr baseColWidth="10" defaultColWidth="12.6328125" defaultRowHeight="15.75" customHeight="1"/>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2:G44"/>
  <sheetViews>
    <sheetView topLeftCell="A4" zoomScale="85" zoomScaleNormal="85" workbookViewId="0">
      <selection activeCell="C11" sqref="C11"/>
    </sheetView>
  </sheetViews>
  <sheetFormatPr baseColWidth="10" defaultColWidth="12.6328125" defaultRowHeight="15.75" customHeight="1"/>
  <cols>
    <col min="1" max="1" width="64.36328125" customWidth="1"/>
    <col min="2" max="2" width="25.36328125" customWidth="1"/>
    <col min="3" max="3" width="27.6328125" customWidth="1"/>
    <col min="4" max="4" width="25.26953125" customWidth="1"/>
    <col min="5" max="5" width="21" customWidth="1"/>
  </cols>
  <sheetData>
    <row r="2" spans="1:5" ht="15.75" customHeight="1">
      <c r="A2" s="279" t="s">
        <v>144</v>
      </c>
      <c r="B2" s="261"/>
      <c r="C2" s="261"/>
    </row>
    <row r="4" spans="1:5" ht="21" customHeight="1">
      <c r="A4" s="75" t="s">
        <v>145</v>
      </c>
      <c r="B4" s="76" t="s">
        <v>146</v>
      </c>
      <c r="C4" s="76" t="s">
        <v>147</v>
      </c>
      <c r="D4" s="255" t="s">
        <v>402</v>
      </c>
      <c r="E4" s="83" t="s">
        <v>163</v>
      </c>
    </row>
    <row r="5" spans="1:5" ht="15.75" customHeight="1">
      <c r="A5" s="77" t="s">
        <v>149</v>
      </c>
      <c r="B5" s="78">
        <f>C5/12</f>
        <v>0</v>
      </c>
      <c r="C5" s="78">
        <f>'1 GASTOS mensuales'!N5</f>
        <v>0</v>
      </c>
      <c r="D5" s="79">
        <f t="shared" ref="D5:D25" si="0">C5/$C$25</f>
        <v>0</v>
      </c>
      <c r="E5" s="84">
        <f>C5/'2 INGRESOS'!C26</f>
        <v>0</v>
      </c>
    </row>
    <row r="6" spans="1:5" ht="15.75" customHeight="1">
      <c r="A6" s="77" t="s">
        <v>150</v>
      </c>
      <c r="B6" s="78">
        <f>C6/12</f>
        <v>491.66666666666669</v>
      </c>
      <c r="C6" s="78">
        <f>'1 GASTOS mensuales'!N6</f>
        <v>5900</v>
      </c>
      <c r="D6" s="79">
        <f t="shared" si="0"/>
        <v>0.38352955095190083</v>
      </c>
      <c r="E6" s="84">
        <f>C6/'2 INGRESOS'!C26</f>
        <v>0.13294576263548075</v>
      </c>
    </row>
    <row r="7" spans="1:5" ht="15.75" customHeight="1">
      <c r="A7" s="77" t="s">
        <v>151</v>
      </c>
      <c r="B7" s="78">
        <f t="shared" ref="B7:B9" si="1">C7/12</f>
        <v>0</v>
      </c>
      <c r="C7" s="78">
        <f>'1 GASTOS mensuales'!N7</f>
        <v>0</v>
      </c>
      <c r="D7" s="79">
        <f t="shared" si="0"/>
        <v>0</v>
      </c>
      <c r="E7" s="84">
        <f>C7/'2 INGRESOS'!C26</f>
        <v>0</v>
      </c>
    </row>
    <row r="8" spans="1:5" ht="15.75" customHeight="1">
      <c r="A8" s="77" t="s">
        <v>152</v>
      </c>
      <c r="B8" s="78">
        <f t="shared" si="1"/>
        <v>0</v>
      </c>
      <c r="C8" s="78">
        <f>'1 GASTOS mensuales'!N8</f>
        <v>0</v>
      </c>
      <c r="D8" s="79">
        <f t="shared" si="0"/>
        <v>0</v>
      </c>
      <c r="E8" s="84">
        <f>C8/'2 INGRESOS'!C26</f>
        <v>0</v>
      </c>
    </row>
    <row r="9" spans="1:5" ht="15.75" customHeight="1">
      <c r="A9" s="77" t="s">
        <v>153</v>
      </c>
      <c r="B9" s="78">
        <f t="shared" si="1"/>
        <v>41.25</v>
      </c>
      <c r="C9" s="78">
        <f>'1 GASTOS mensuales'!N9</f>
        <v>495</v>
      </c>
      <c r="D9" s="79">
        <f t="shared" si="0"/>
        <v>3.2177479274778119E-2</v>
      </c>
      <c r="E9" s="84">
        <f>C9/'2 INGRESOS'!C26</f>
        <v>1.1153924153315757E-2</v>
      </c>
    </row>
    <row r="10" spans="1:5" ht="15.75" customHeight="1">
      <c r="A10" s="77" t="s">
        <v>154</v>
      </c>
      <c r="B10" s="78">
        <f>C10/12</f>
        <v>0</v>
      </c>
      <c r="C10" s="78">
        <f>'1 GASTOS mensuales'!N10</f>
        <v>0</v>
      </c>
      <c r="D10" s="79">
        <f t="shared" si="0"/>
        <v>0</v>
      </c>
      <c r="E10" s="84">
        <f>C10/'2 INGRESOS'!C26</f>
        <v>0</v>
      </c>
    </row>
    <row r="11" spans="1:5" ht="15.75" customHeight="1">
      <c r="A11" s="77" t="s">
        <v>155</v>
      </c>
      <c r="B11" s="78">
        <f t="shared" ref="B11:B20" si="2">C11/12</f>
        <v>212.5</v>
      </c>
      <c r="C11" s="78">
        <f>'1 GASTOS mensuales'!N11</f>
        <v>2550</v>
      </c>
      <c r="D11" s="79">
        <f t="shared" si="0"/>
        <v>0.16576277202158426</v>
      </c>
      <c r="E11" s="84">
        <f>C11/'2 INGRESOS'!C26</f>
        <v>5.7459609274656931E-2</v>
      </c>
    </row>
    <row r="12" spans="1:5" ht="15.75" customHeight="1">
      <c r="A12" s="77" t="s">
        <v>156</v>
      </c>
      <c r="B12" s="78">
        <f t="shared" si="2"/>
        <v>11.666666666666666</v>
      </c>
      <c r="C12" s="78">
        <f>'1 GASTOS mensuales'!N12</f>
        <v>140</v>
      </c>
      <c r="D12" s="79">
        <f t="shared" si="0"/>
        <v>9.1007012090281551E-3</v>
      </c>
      <c r="E12" s="84">
        <f>C12/'2 INGRESOS'!C26</f>
        <v>3.1546452150792042E-3</v>
      </c>
    </row>
    <row r="13" spans="1:5" ht="15.75" customHeight="1">
      <c r="A13" s="77" t="s">
        <v>157</v>
      </c>
      <c r="B13" s="78">
        <f>C13/12</f>
        <v>41.916666666666664</v>
      </c>
      <c r="C13" s="78">
        <f>'1 GASTOS mensuales'!N13</f>
        <v>503</v>
      </c>
      <c r="D13" s="79">
        <f t="shared" si="0"/>
        <v>3.2697519343865444E-2</v>
      </c>
      <c r="E13" s="84">
        <f>C13/'2 INGRESOS'!C26</f>
        <v>1.1334189594177426E-2</v>
      </c>
    </row>
    <row r="14" spans="1:5" ht="15.75" customHeight="1">
      <c r="A14" s="77" t="s">
        <v>158</v>
      </c>
      <c r="B14" s="78">
        <f t="shared" si="2"/>
        <v>83.225833333333341</v>
      </c>
      <c r="C14" s="78">
        <f>'1 GASTOS mensuales'!N14</f>
        <v>998.71</v>
      </c>
      <c r="D14" s="79">
        <f t="shared" si="0"/>
        <v>6.4921152174775065E-2</v>
      </c>
      <c r="E14" s="84">
        <f>C14/'2 INGRESOS'!C26</f>
        <v>2.2504112305369656E-2</v>
      </c>
    </row>
    <row r="15" spans="1:5" ht="15.75" customHeight="1">
      <c r="A15" s="77" t="s">
        <v>159</v>
      </c>
      <c r="B15" s="78">
        <f>C15/12</f>
        <v>96.280000000000015</v>
      </c>
      <c r="C15" s="78">
        <f>'1 GASTOS mensuales'!N15</f>
        <v>1155.3600000000001</v>
      </c>
      <c r="D15" s="79">
        <f t="shared" si="0"/>
        <v>7.5104186777591217E-2</v>
      </c>
      <c r="E15" s="84">
        <f>C15/'2 INGRESOS'!C26</f>
        <v>2.6033934969242212E-2</v>
      </c>
    </row>
    <row r="16" spans="1:5" ht="15.75" customHeight="1">
      <c r="A16" s="77" t="s">
        <v>349</v>
      </c>
      <c r="B16" s="78">
        <f t="shared" si="2"/>
        <v>73.293333333333337</v>
      </c>
      <c r="C16" s="78">
        <f>'1 GASTOS mensuales'!N16</f>
        <v>879.52</v>
      </c>
      <c r="D16" s="79">
        <f t="shared" si="0"/>
        <v>5.7173205195460305E-2</v>
      </c>
      <c r="E16" s="84">
        <f>C16/'2 INGRESOS'!C26</f>
        <v>1.9818382568331867E-2</v>
      </c>
    </row>
    <row r="17" spans="1:7" ht="15.75" customHeight="1">
      <c r="A17" s="77" t="s">
        <v>353</v>
      </c>
      <c r="B17" s="78">
        <f t="shared" si="2"/>
        <v>-51.975833333333334</v>
      </c>
      <c r="C17" s="78">
        <f>'1 GASTOS mensuales'!N17</f>
        <v>-623.71</v>
      </c>
      <c r="D17" s="79">
        <f t="shared" si="0"/>
        <v>-4.0544273936306795E-2</v>
      </c>
      <c r="E17" s="84">
        <f>C17/'2 INGRESOS'!C26</f>
        <v>-1.4054169764978933E-2</v>
      </c>
    </row>
    <row r="18" spans="1:7" ht="15.75" customHeight="1">
      <c r="A18" s="77" t="s">
        <v>355</v>
      </c>
      <c r="B18" s="78">
        <f>C18/12</f>
        <v>236.45500000000001</v>
      </c>
      <c r="C18" s="78">
        <f>'1 GASTOS mensuales'!N18</f>
        <v>2837.46</v>
      </c>
      <c r="D18" s="79">
        <f t="shared" si="0"/>
        <v>0.18444911180406451</v>
      </c>
      <c r="E18" s="84">
        <f>C18/'2 INGRESOS'!C26</f>
        <v>6.3936997228418849E-2</v>
      </c>
    </row>
    <row r="19" spans="1:7" ht="15.75" customHeight="1">
      <c r="A19" s="77" t="s">
        <v>356</v>
      </c>
      <c r="B19" s="78">
        <f t="shared" si="2"/>
        <v>3.9833333333333329</v>
      </c>
      <c r="C19" s="78">
        <f>'1 GASTOS mensuales'!N19</f>
        <v>47.8</v>
      </c>
      <c r="D19" s="79">
        <f t="shared" si="0"/>
        <v>3.1072394127967559E-3</v>
      </c>
      <c r="E19" s="84">
        <f>C19/'2 INGRESOS'!C26</f>
        <v>1.0770860091484711E-3</v>
      </c>
    </row>
    <row r="20" spans="1:7" ht="12.5">
      <c r="A20" s="77" t="s">
        <v>160</v>
      </c>
      <c r="B20" s="78">
        <f t="shared" si="2"/>
        <v>41.69083333333333</v>
      </c>
      <c r="C20" s="78">
        <f>'1 GASTOS mensuales'!N20</f>
        <v>500.28999999999996</v>
      </c>
      <c r="D20" s="79">
        <f t="shared" si="0"/>
        <v>3.2521355770462113E-2</v>
      </c>
      <c r="E20" s="84">
        <f>C20/'2 INGRESOS'!C26</f>
        <v>1.1273124676085535E-2</v>
      </c>
    </row>
    <row r="21" spans="1:7" ht="12.5">
      <c r="A21" s="77" t="s">
        <v>160</v>
      </c>
      <c r="B21" s="78"/>
      <c r="C21" s="78">
        <f>+B21*12</f>
        <v>0</v>
      </c>
      <c r="D21" s="79">
        <f t="shared" si="0"/>
        <v>0</v>
      </c>
      <c r="E21" s="84">
        <f>C21/'2 INGRESOS'!C26</f>
        <v>0</v>
      </c>
    </row>
    <row r="22" spans="1:7" ht="12.5">
      <c r="A22" s="77" t="s">
        <v>160</v>
      </c>
      <c r="B22" s="78"/>
      <c r="C22" s="78">
        <f>+B22*12</f>
        <v>0</v>
      </c>
      <c r="D22" s="79">
        <f t="shared" si="0"/>
        <v>0</v>
      </c>
      <c r="E22" s="84">
        <f>C22/'2 INGRESOS'!C26</f>
        <v>0</v>
      </c>
    </row>
    <row r="23" spans="1:7" ht="12.5">
      <c r="A23" s="77" t="s">
        <v>160</v>
      </c>
      <c r="B23" s="78"/>
      <c r="C23" s="78">
        <f>+B23*12</f>
        <v>0</v>
      </c>
      <c r="D23" s="79">
        <f t="shared" si="0"/>
        <v>0</v>
      </c>
      <c r="E23" s="84">
        <f>C23/'2 INGRESOS'!C26</f>
        <v>0</v>
      </c>
    </row>
    <row r="24" spans="1:7" ht="12.5">
      <c r="A24" s="77" t="s">
        <v>160</v>
      </c>
      <c r="B24" s="78"/>
      <c r="C24" s="78">
        <f>+B24*12</f>
        <v>0</v>
      </c>
      <c r="D24" s="79">
        <f t="shared" si="0"/>
        <v>0</v>
      </c>
      <c r="E24" s="84">
        <f>C24/'2 INGRESOS'!C26</f>
        <v>0</v>
      </c>
    </row>
    <row r="25" spans="1:7" s="231" customFormat="1" ht="13">
      <c r="A25" s="80" t="s">
        <v>161</v>
      </c>
      <c r="B25" s="85">
        <f>SUM(B5:B24)</f>
        <v>1281.9525000000001</v>
      </c>
      <c r="C25" s="256">
        <f>SUM(C5:C24)</f>
        <v>15383.43</v>
      </c>
      <c r="D25" s="105">
        <f t="shared" si="0"/>
        <v>1</v>
      </c>
      <c r="E25" s="87">
        <f>C25/'2 INGRESOS'!C26</f>
        <v>0.34663759886432771</v>
      </c>
    </row>
    <row r="26" spans="1:7" ht="12.5">
      <c r="B26" s="78"/>
      <c r="C26" s="78"/>
    </row>
    <row r="27" spans="1:7" ht="13">
      <c r="A27" s="75" t="s">
        <v>162</v>
      </c>
      <c r="B27" s="83" t="s">
        <v>146</v>
      </c>
      <c r="C27" s="83" t="s">
        <v>147</v>
      </c>
      <c r="D27" s="83" t="s">
        <v>163</v>
      </c>
      <c r="G27" s="240"/>
    </row>
    <row r="28" spans="1:7" ht="12.5">
      <c r="A28" s="77" t="s">
        <v>352</v>
      </c>
      <c r="B28" s="223">
        <f>C28/12</f>
        <v>723.66666666666663</v>
      </c>
      <c r="C28" s="223">
        <f>'1 GASTOS mensuales'!N25</f>
        <v>8684</v>
      </c>
      <c r="D28" s="84">
        <f>C28/'2 INGRESOS'!C26</f>
        <v>0.19567813605534148</v>
      </c>
    </row>
    <row r="29" spans="1:7" ht="12.5">
      <c r="A29" s="77" t="s">
        <v>350</v>
      </c>
      <c r="B29" s="223">
        <f t="shared" ref="B29:B32" si="3">C29/12</f>
        <v>223.66666666666666</v>
      </c>
      <c r="C29" s="223">
        <f>'1 GASTOS mensuales'!N26</f>
        <v>2684</v>
      </c>
      <c r="D29" s="84">
        <f>C29/'2 INGRESOS'!C26</f>
        <v>6.0479055409089884E-2</v>
      </c>
    </row>
    <row r="30" spans="1:7" ht="12.5">
      <c r="A30" s="77" t="s">
        <v>354</v>
      </c>
      <c r="B30" s="223">
        <f t="shared" si="3"/>
        <v>78.083333333333329</v>
      </c>
      <c r="C30" s="223">
        <f>'1 GASTOS mensuales'!N27</f>
        <v>937</v>
      </c>
      <c r="D30" s="84">
        <f>C30/'2 INGRESOS'!C26</f>
        <v>2.1113589760922959E-2</v>
      </c>
    </row>
    <row r="31" spans="1:7" ht="12.5">
      <c r="A31" s="77" t="s">
        <v>357</v>
      </c>
      <c r="B31" s="223">
        <f t="shared" si="3"/>
        <v>55.505833333333328</v>
      </c>
      <c r="C31" s="223">
        <f>'1 GASTOS mensuales'!N28</f>
        <v>666.06999999999994</v>
      </c>
      <c r="D31" s="84">
        <f>C31/'2 INGRESOS'!C26</f>
        <v>1.5008675274341467E-2</v>
      </c>
      <c r="E31" s="280" t="s">
        <v>164</v>
      </c>
    </row>
    <row r="32" spans="1:7" ht="12.5">
      <c r="A32" s="77" t="s">
        <v>351</v>
      </c>
      <c r="B32" s="223">
        <f t="shared" si="3"/>
        <v>124.16666666666667</v>
      </c>
      <c r="C32" s="223">
        <f>'1 GASTOS mensuales'!N30</f>
        <v>1490</v>
      </c>
      <c r="D32" s="84">
        <f>C32/'2 INGRESOS'!C26</f>
        <v>3.3574438360485813E-2</v>
      </c>
      <c r="E32" s="261"/>
    </row>
    <row r="33" spans="1:5" ht="13">
      <c r="A33" s="80" t="s">
        <v>165</v>
      </c>
      <c r="B33" s="85">
        <f>SUM(B28:B32)</f>
        <v>1205.0891666666666</v>
      </c>
      <c r="C33" s="224">
        <f>SUM(C28:C32)</f>
        <v>14461.07</v>
      </c>
      <c r="D33" s="86">
        <f>SUM(D28:D32)</f>
        <v>0.32585389486018163</v>
      </c>
      <c r="E33" s="261"/>
    </row>
    <row r="34" spans="1:5" ht="12.5">
      <c r="A34" s="77" t="s">
        <v>166</v>
      </c>
      <c r="B34" s="223">
        <f>C34/11</f>
        <v>315</v>
      </c>
      <c r="C34" s="223">
        <f>'1 GASTOS mensuales'!N32</f>
        <v>3465</v>
      </c>
      <c r="D34" s="84">
        <f>C34/'2 INGRESOS'!C26</f>
        <v>7.8077469073210296E-2</v>
      </c>
      <c r="E34" s="261"/>
    </row>
    <row r="35" spans="1:5" ht="12.5">
      <c r="A35" s="77" t="s">
        <v>167</v>
      </c>
      <c r="B35" s="223">
        <f>C35/11</f>
        <v>49.098181818181821</v>
      </c>
      <c r="C35" s="223">
        <f>'1 GASTOS mensuales'!N33</f>
        <v>540.08000000000004</v>
      </c>
      <c r="D35" s="84">
        <f>C35/'2 INGRESOS'!C26</f>
        <v>1.2169719912571262E-2</v>
      </c>
      <c r="E35" s="261"/>
    </row>
    <row r="36" spans="1:5" ht="13">
      <c r="A36" s="80" t="s">
        <v>168</v>
      </c>
      <c r="B36" s="224">
        <f>SUM(B34:B35)</f>
        <v>364.09818181818184</v>
      </c>
      <c r="C36" s="224">
        <f>SUM(C34:C35)</f>
        <v>4005.08</v>
      </c>
      <c r="D36" s="87">
        <f>C36/'2 INGRESOS'!C26</f>
        <v>9.024718898578156E-2</v>
      </c>
      <c r="E36" s="261"/>
    </row>
    <row r="37" spans="1:5" ht="12.5">
      <c r="C37" s="88"/>
    </row>
    <row r="39" spans="1:5" ht="15.5">
      <c r="A39" s="89" t="s">
        <v>170</v>
      </c>
      <c r="B39" s="77"/>
      <c r="C39" s="77"/>
      <c r="D39" s="77"/>
      <c r="E39" s="77"/>
    </row>
    <row r="40" spans="1:5" ht="15.5">
      <c r="A40" s="90" t="s">
        <v>171</v>
      </c>
      <c r="B40" s="77"/>
      <c r="C40" s="77"/>
      <c r="D40" s="77"/>
      <c r="E40" s="77"/>
    </row>
    <row r="41" spans="1:5" ht="15.5">
      <c r="A41" s="90" t="s">
        <v>172</v>
      </c>
      <c r="B41" s="77"/>
      <c r="C41" s="77"/>
      <c r="D41" s="77"/>
      <c r="E41" s="77"/>
    </row>
    <row r="42" spans="1:5" ht="15.5">
      <c r="A42" s="91" t="s">
        <v>375</v>
      </c>
      <c r="B42" s="92"/>
      <c r="C42" s="92"/>
      <c r="D42" s="92"/>
      <c r="E42" s="92"/>
    </row>
    <row r="43" spans="1:5" ht="15.5">
      <c r="A43" s="91" t="s">
        <v>376</v>
      </c>
      <c r="B43" s="92"/>
      <c r="C43" s="92"/>
      <c r="D43" s="92"/>
      <c r="E43" s="92"/>
    </row>
    <row r="44" spans="1:5" ht="15.5">
      <c r="A44" s="93" t="s">
        <v>175</v>
      </c>
      <c r="B44" s="94"/>
      <c r="C44" s="94"/>
      <c r="D44" s="94"/>
      <c r="E44" s="94"/>
    </row>
  </sheetData>
  <mergeCells count="2">
    <mergeCell ref="A2:C2"/>
    <mergeCell ref="E31:E36"/>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4990-50E7-4905-AABF-C20D18EC28AB}">
  <sheetPr>
    <outlinePr summaryBelow="0" summaryRight="0"/>
  </sheetPr>
  <dimension ref="A2:P43"/>
  <sheetViews>
    <sheetView topLeftCell="A18" zoomScale="85" zoomScaleNormal="85" workbookViewId="0">
      <selection activeCell="A4" sqref="A4:A36"/>
    </sheetView>
  </sheetViews>
  <sheetFormatPr baseColWidth="10" defaultColWidth="12.6328125" defaultRowHeight="15.75" customHeight="1"/>
  <cols>
    <col min="1" max="1" width="64.36328125" customWidth="1"/>
    <col min="2" max="12" width="10.36328125" customWidth="1"/>
    <col min="13" max="13" width="10.453125" style="222" customWidth="1"/>
    <col min="14" max="14" width="27.6328125" customWidth="1"/>
    <col min="15" max="15" width="25.26953125" customWidth="1"/>
    <col min="16" max="16" width="21" customWidth="1"/>
  </cols>
  <sheetData>
    <row r="2" spans="1:16" ht="15.75" customHeight="1">
      <c r="A2" s="279" t="s">
        <v>144</v>
      </c>
      <c r="B2" s="261"/>
      <c r="C2" s="261"/>
      <c r="D2" s="261"/>
      <c r="E2" s="261"/>
      <c r="F2" s="261"/>
      <c r="G2" s="261"/>
      <c r="H2" s="261"/>
      <c r="I2" s="261"/>
      <c r="J2" s="261"/>
      <c r="K2" s="261"/>
      <c r="L2" s="261"/>
      <c r="M2" s="261"/>
      <c r="N2" s="261"/>
    </row>
    <row r="3" spans="1:16" ht="15.75" customHeight="1">
      <c r="M3"/>
    </row>
    <row r="4" spans="1:16" ht="13">
      <c r="A4" s="75" t="s">
        <v>145</v>
      </c>
      <c r="B4" s="76" t="s">
        <v>336</v>
      </c>
      <c r="C4" s="76" t="s">
        <v>337</v>
      </c>
      <c r="D4" s="76" t="s">
        <v>338</v>
      </c>
      <c r="E4" s="76" t="s">
        <v>339</v>
      </c>
      <c r="F4" s="76" t="s">
        <v>340</v>
      </c>
      <c r="G4" s="76" t="s">
        <v>341</v>
      </c>
      <c r="H4" s="76" t="s">
        <v>342</v>
      </c>
      <c r="I4" s="76" t="s">
        <v>343</v>
      </c>
      <c r="J4" s="76" t="s">
        <v>344</v>
      </c>
      <c r="K4" s="76" t="s">
        <v>345</v>
      </c>
      <c r="L4" s="76" t="s">
        <v>346</v>
      </c>
      <c r="M4" s="76" t="s">
        <v>347</v>
      </c>
      <c r="N4" s="76" t="s">
        <v>147</v>
      </c>
      <c r="O4" s="76" t="s">
        <v>148</v>
      </c>
    </row>
    <row r="5" spans="1:16" ht="15.75" customHeight="1">
      <c r="A5" s="77" t="s">
        <v>149</v>
      </c>
      <c r="B5" s="78">
        <v>0</v>
      </c>
      <c r="C5" s="78">
        <v>0</v>
      </c>
      <c r="D5" s="78">
        <v>0</v>
      </c>
      <c r="E5" s="78">
        <v>0</v>
      </c>
      <c r="F5" s="78">
        <v>0</v>
      </c>
      <c r="G5" s="78">
        <v>0</v>
      </c>
      <c r="H5" s="78"/>
      <c r="I5" s="78"/>
      <c r="J5" s="78"/>
      <c r="K5" s="78"/>
      <c r="L5" s="78"/>
      <c r="M5" s="78"/>
      <c r="N5" s="78">
        <f>SUM(B5:M5)</f>
        <v>0</v>
      </c>
      <c r="O5" s="79">
        <f t="shared" ref="O5:O17" si="0">N5/$N$22</f>
        <v>0</v>
      </c>
      <c r="P5" s="77" t="s">
        <v>149</v>
      </c>
    </row>
    <row r="6" spans="1:16" ht="15.75" customHeight="1">
      <c r="A6" s="232" t="s">
        <v>372</v>
      </c>
      <c r="B6" s="253">
        <v>800</v>
      </c>
      <c r="C6" s="253">
        <v>800</v>
      </c>
      <c r="D6" s="253">
        <v>800</v>
      </c>
      <c r="E6" s="253">
        <v>1000</v>
      </c>
      <c r="F6" s="253">
        <v>1000</v>
      </c>
      <c r="G6" s="253">
        <v>1500</v>
      </c>
      <c r="H6" s="78"/>
      <c r="I6" s="78"/>
      <c r="J6" s="78"/>
      <c r="K6" s="78"/>
      <c r="L6" s="78"/>
      <c r="M6" s="78"/>
      <c r="N6" s="78">
        <f t="shared" ref="N6:N20" si="1">SUM(B6:M6)</f>
        <v>5900</v>
      </c>
      <c r="O6" s="79">
        <f t="shared" si="0"/>
        <v>0.33940367349826817</v>
      </c>
      <c r="P6" s="232" t="s">
        <v>372</v>
      </c>
    </row>
    <row r="7" spans="1:16" ht="15.75" customHeight="1">
      <c r="A7" s="77" t="s">
        <v>151</v>
      </c>
      <c r="B7" s="78">
        <v>0</v>
      </c>
      <c r="C7" s="78">
        <v>0</v>
      </c>
      <c r="D7" s="78">
        <v>0</v>
      </c>
      <c r="E7" s="78">
        <v>0</v>
      </c>
      <c r="F7" s="78">
        <v>0</v>
      </c>
      <c r="G7" s="78">
        <v>0</v>
      </c>
      <c r="H7" s="78"/>
      <c r="I7" s="78"/>
      <c r="J7" s="78"/>
      <c r="K7" s="78"/>
      <c r="L7" s="78"/>
      <c r="M7" s="78"/>
      <c r="N7" s="78">
        <f t="shared" si="1"/>
        <v>0</v>
      </c>
      <c r="O7" s="79">
        <f t="shared" si="0"/>
        <v>0</v>
      </c>
      <c r="P7" s="77" t="s">
        <v>151</v>
      </c>
    </row>
    <row r="8" spans="1:16" ht="15.75" customHeight="1">
      <c r="A8" s="77" t="s">
        <v>152</v>
      </c>
      <c r="B8" s="78">
        <v>0</v>
      </c>
      <c r="C8" s="78">
        <v>0</v>
      </c>
      <c r="D8" s="78">
        <v>0</v>
      </c>
      <c r="E8" s="78">
        <v>0</v>
      </c>
      <c r="F8" s="78">
        <v>0</v>
      </c>
      <c r="G8" s="78">
        <v>0</v>
      </c>
      <c r="H8" s="78"/>
      <c r="I8" s="78"/>
      <c r="J8" s="78"/>
      <c r="K8" s="78"/>
      <c r="L8" s="78"/>
      <c r="M8" s="78"/>
      <c r="N8" s="78">
        <f t="shared" si="1"/>
        <v>0</v>
      </c>
      <c r="O8" s="79">
        <f t="shared" si="0"/>
        <v>0</v>
      </c>
      <c r="P8" s="77" t="s">
        <v>152</v>
      </c>
    </row>
    <row r="9" spans="1:16" ht="15.75" customHeight="1">
      <c r="A9" s="77" t="s">
        <v>153</v>
      </c>
      <c r="B9" s="78">
        <v>100</v>
      </c>
      <c r="C9" s="78">
        <f>35+21+23</f>
        <v>79</v>
      </c>
      <c r="D9" s="78">
        <f>20+35+23+18</f>
        <v>96</v>
      </c>
      <c r="E9" s="78">
        <v>74</v>
      </c>
      <c r="F9" s="78">
        <v>73</v>
      </c>
      <c r="G9" s="78">
        <v>73</v>
      </c>
      <c r="H9" s="78"/>
      <c r="I9" s="78"/>
      <c r="J9" s="78"/>
      <c r="K9" s="78"/>
      <c r="L9" s="78"/>
      <c r="M9" s="78"/>
      <c r="N9" s="78">
        <f t="shared" si="1"/>
        <v>495</v>
      </c>
      <c r="O9" s="79">
        <f t="shared" si="0"/>
        <v>2.8475392946041143E-2</v>
      </c>
      <c r="P9" s="77" t="s">
        <v>153</v>
      </c>
    </row>
    <row r="10" spans="1:16" ht="15.75" customHeight="1">
      <c r="A10" s="77" t="s">
        <v>154</v>
      </c>
      <c r="B10" s="78">
        <v>0</v>
      </c>
      <c r="C10" s="78">
        <v>0</v>
      </c>
      <c r="D10" s="78">
        <v>0</v>
      </c>
      <c r="E10" s="78">
        <v>0</v>
      </c>
      <c r="F10" s="78">
        <v>0</v>
      </c>
      <c r="G10" s="78">
        <v>0</v>
      </c>
      <c r="H10" s="78"/>
      <c r="I10" s="78"/>
      <c r="J10" s="78"/>
      <c r="K10" s="78"/>
      <c r="L10" s="78"/>
      <c r="M10" s="78"/>
      <c r="N10" s="78">
        <v>0</v>
      </c>
      <c r="O10" s="79">
        <f t="shared" si="0"/>
        <v>0</v>
      </c>
      <c r="P10" s="77" t="s">
        <v>154</v>
      </c>
    </row>
    <row r="11" spans="1:16" ht="15.75" customHeight="1">
      <c r="A11" s="77" t="s">
        <v>155</v>
      </c>
      <c r="B11" s="78">
        <v>21</v>
      </c>
      <c r="C11" s="78">
        <f>840+605+326+150</f>
        <v>1921</v>
      </c>
      <c r="D11" s="78">
        <f>72+536</f>
        <v>608</v>
      </c>
      <c r="E11" s="78">
        <v>0</v>
      </c>
      <c r="F11" s="78">
        <v>0</v>
      </c>
      <c r="G11" s="78">
        <v>0</v>
      </c>
      <c r="H11" s="78"/>
      <c r="I11" s="78"/>
      <c r="J11" s="78"/>
      <c r="K11" s="78"/>
      <c r="L11" s="78"/>
      <c r="M11" s="78"/>
      <c r="N11" s="78">
        <f t="shared" si="1"/>
        <v>2550</v>
      </c>
      <c r="O11" s="79">
        <f t="shared" si="0"/>
        <v>0.14669141820687862</v>
      </c>
      <c r="P11" s="77" t="s">
        <v>155</v>
      </c>
    </row>
    <row r="12" spans="1:16" ht="15.75" customHeight="1">
      <c r="A12" s="77" t="s">
        <v>156</v>
      </c>
      <c r="B12" s="221">
        <v>0</v>
      </c>
      <c r="C12" s="78">
        <v>0</v>
      </c>
      <c r="D12" s="78">
        <v>10</v>
      </c>
      <c r="E12" s="78">
        <v>42</v>
      </c>
      <c r="F12" s="78">
        <f>32+46</f>
        <v>78</v>
      </c>
      <c r="G12" s="78">
        <v>10</v>
      </c>
      <c r="H12" s="78"/>
      <c r="I12" s="78"/>
      <c r="J12" s="78"/>
      <c r="K12" s="78"/>
      <c r="L12" s="78"/>
      <c r="M12" s="78"/>
      <c r="N12" s="78">
        <f t="shared" si="1"/>
        <v>140</v>
      </c>
      <c r="O12" s="79">
        <f t="shared" si="0"/>
        <v>8.053646489789415E-3</v>
      </c>
      <c r="P12" s="77" t="s">
        <v>156</v>
      </c>
    </row>
    <row r="13" spans="1:16" ht="15.75" customHeight="1">
      <c r="A13" s="77" t="s">
        <v>404</v>
      </c>
      <c r="B13" s="78">
        <v>0</v>
      </c>
      <c r="C13" s="78">
        <v>0</v>
      </c>
      <c r="D13" s="78">
        <v>0</v>
      </c>
      <c r="E13" s="78">
        <v>0</v>
      </c>
      <c r="F13" s="78">
        <v>0</v>
      </c>
      <c r="G13" s="78">
        <f>250+253</f>
        <v>503</v>
      </c>
      <c r="H13" s="78"/>
      <c r="I13" s="78"/>
      <c r="J13" s="78"/>
      <c r="K13" s="78"/>
      <c r="L13" s="78"/>
      <c r="M13" s="78"/>
      <c r="N13" s="78">
        <f t="shared" si="1"/>
        <v>503</v>
      </c>
      <c r="O13" s="79">
        <f t="shared" si="0"/>
        <v>2.8935601316886252E-2</v>
      </c>
      <c r="P13" s="77" t="s">
        <v>404</v>
      </c>
    </row>
    <row r="14" spans="1:16" ht="15.75" customHeight="1">
      <c r="A14" s="77" t="s">
        <v>158</v>
      </c>
      <c r="B14" s="221">
        <v>89.54</v>
      </c>
      <c r="C14" s="221">
        <v>71.39</v>
      </c>
      <c r="D14" s="221">
        <v>71.39</v>
      </c>
      <c r="E14" s="221">
        <v>71.39</v>
      </c>
      <c r="F14" s="221">
        <v>626</v>
      </c>
      <c r="G14" s="221">
        <v>69</v>
      </c>
      <c r="H14" s="221"/>
      <c r="I14" s="221"/>
      <c r="J14" s="221"/>
      <c r="K14" s="221"/>
      <c r="L14" s="221"/>
      <c r="M14" s="221"/>
      <c r="N14" s="78">
        <f t="shared" si="1"/>
        <v>998.71</v>
      </c>
      <c r="O14" s="79">
        <f t="shared" si="0"/>
        <v>5.7451837755839903E-2</v>
      </c>
      <c r="P14" s="77" t="s">
        <v>158</v>
      </c>
    </row>
    <row r="15" spans="1:16" ht="15.75" customHeight="1">
      <c r="A15" s="77" t="s">
        <v>159</v>
      </c>
      <c r="B15" s="221">
        <v>235.59</v>
      </c>
      <c r="C15" s="221">
        <v>235.59</v>
      </c>
      <c r="D15" s="221">
        <v>235.59</v>
      </c>
      <c r="E15" s="221">
        <v>235.59</v>
      </c>
      <c r="F15" s="221">
        <v>125</v>
      </c>
      <c r="G15" s="221">
        <v>88</v>
      </c>
      <c r="H15" s="221"/>
      <c r="I15" s="221"/>
      <c r="J15" s="221"/>
      <c r="K15" s="221"/>
      <c r="L15" s="221"/>
      <c r="M15" s="221"/>
      <c r="N15" s="78">
        <f t="shared" si="1"/>
        <v>1155.3600000000001</v>
      </c>
      <c r="O15" s="79">
        <f t="shared" si="0"/>
        <v>6.6463292917450706E-2</v>
      </c>
      <c r="P15" s="77" t="s">
        <v>159</v>
      </c>
    </row>
    <row r="16" spans="1:16" ht="15.75" customHeight="1">
      <c r="A16" s="77" t="s">
        <v>349</v>
      </c>
      <c r="B16">
        <v>0</v>
      </c>
      <c r="C16" s="221">
        <v>172.52</v>
      </c>
      <c r="D16" s="221">
        <f>165+83</f>
        <v>248</v>
      </c>
      <c r="E16" s="78">
        <f>159+20</f>
        <v>179</v>
      </c>
      <c r="F16" s="78">
        <v>160</v>
      </c>
      <c r="G16" s="78">
        <v>120</v>
      </c>
      <c r="H16" s="78"/>
      <c r="I16" s="78"/>
      <c r="J16" s="78"/>
      <c r="K16" s="78"/>
      <c r="L16" s="78"/>
      <c r="M16" s="78"/>
      <c r="N16" s="78">
        <f>SUM(C16:M16)</f>
        <v>879.52</v>
      </c>
      <c r="O16" s="79">
        <f t="shared" si="0"/>
        <v>5.0595308290711322E-2</v>
      </c>
      <c r="P16" s="77" t="s">
        <v>349</v>
      </c>
    </row>
    <row r="17" spans="1:16" ht="12.5">
      <c r="A17" s="77" t="s">
        <v>353</v>
      </c>
      <c r="B17" s="254">
        <f>9.3+(-797)</f>
        <v>-787.7</v>
      </c>
      <c r="C17" s="78">
        <v>28</v>
      </c>
      <c r="D17" s="78">
        <v>42</v>
      </c>
      <c r="E17" s="78">
        <v>93.99</v>
      </c>
      <c r="F17" s="78"/>
      <c r="G17" s="78"/>
      <c r="H17" s="78"/>
      <c r="I17" s="78"/>
      <c r="J17" s="78"/>
      <c r="K17" s="78"/>
      <c r="L17" s="78"/>
      <c r="M17" s="78"/>
      <c r="N17" s="78">
        <f t="shared" si="1"/>
        <v>-623.71</v>
      </c>
      <c r="O17" s="79">
        <f t="shared" si="0"/>
        <v>-3.5879570372475397E-2</v>
      </c>
      <c r="P17" s="77" t="s">
        <v>353</v>
      </c>
    </row>
    <row r="18" spans="1:16" ht="12.5">
      <c r="A18" s="77" t="s">
        <v>399</v>
      </c>
      <c r="B18" s="78">
        <v>530</v>
      </c>
      <c r="C18" s="78">
        <v>105</v>
      </c>
      <c r="D18" s="78">
        <v>0</v>
      </c>
      <c r="E18" s="78">
        <f>1206+18</f>
        <v>1224</v>
      </c>
      <c r="F18" s="78">
        <f>137.8+18</f>
        <v>155.80000000000001</v>
      </c>
      <c r="G18" s="78">
        <f>623.28+181.38+18</f>
        <v>822.66</v>
      </c>
      <c r="H18" s="78"/>
      <c r="I18" s="78"/>
      <c r="J18" s="78"/>
      <c r="K18" s="78"/>
      <c r="L18" s="78"/>
      <c r="M18" s="78"/>
      <c r="N18" s="78">
        <f>SUM(B18:M18)</f>
        <v>2837.46</v>
      </c>
      <c r="O18" s="79">
        <f>N18/$N$22</f>
        <v>0.16322785549227051</v>
      </c>
      <c r="P18" s="77" t="s">
        <v>399</v>
      </c>
    </row>
    <row r="19" spans="1:16" ht="12.5">
      <c r="A19" s="77" t="s">
        <v>356</v>
      </c>
      <c r="B19" s="78">
        <v>7.9</v>
      </c>
      <c r="C19" s="78">
        <v>7.9</v>
      </c>
      <c r="D19" s="78">
        <v>8</v>
      </c>
      <c r="E19" s="78">
        <v>8</v>
      </c>
      <c r="F19" s="78">
        <v>8</v>
      </c>
      <c r="G19" s="78">
        <v>8</v>
      </c>
      <c r="H19" s="78"/>
      <c r="I19" s="78"/>
      <c r="J19" s="78"/>
      <c r="K19" s="78"/>
      <c r="L19" s="78"/>
      <c r="M19" s="78"/>
      <c r="N19" s="78">
        <f t="shared" si="1"/>
        <v>47.8</v>
      </c>
      <c r="O19" s="79">
        <f>N19/$N$22</f>
        <v>2.7497450157995284E-3</v>
      </c>
      <c r="P19" s="77" t="s">
        <v>356</v>
      </c>
    </row>
    <row r="20" spans="1:16" ht="12.5">
      <c r="A20" s="77" t="s">
        <v>160</v>
      </c>
      <c r="B20" s="78">
        <v>133.1</v>
      </c>
      <c r="C20" s="78">
        <f>47.19+72</f>
        <v>119.19</v>
      </c>
      <c r="D20" s="78">
        <f>42+33+20</f>
        <v>95</v>
      </c>
      <c r="E20" s="78">
        <v>20</v>
      </c>
      <c r="F20" s="78"/>
      <c r="G20" s="78">
        <v>133</v>
      </c>
      <c r="H20" s="78"/>
      <c r="I20" s="78"/>
      <c r="J20" s="221"/>
      <c r="K20" s="78"/>
      <c r="L20" s="78"/>
      <c r="M20" s="78"/>
      <c r="N20" s="78">
        <f t="shared" si="1"/>
        <v>500.28999999999996</v>
      </c>
      <c r="O20" s="79">
        <f>N20/$N$22</f>
        <v>2.877970573126247E-2</v>
      </c>
      <c r="P20" s="77" t="s">
        <v>160</v>
      </c>
    </row>
    <row r="21" spans="1:16" ht="12.5">
      <c r="A21" s="77" t="s">
        <v>385</v>
      </c>
      <c r="B21" s="78">
        <v>400</v>
      </c>
      <c r="C21" s="78">
        <v>400</v>
      </c>
      <c r="D21" s="78">
        <v>400</v>
      </c>
      <c r="E21" s="78">
        <v>400</v>
      </c>
      <c r="F21" s="78">
        <v>400</v>
      </c>
      <c r="G21" s="78">
        <v>400</v>
      </c>
      <c r="H21" s="78"/>
      <c r="I21" s="78"/>
      <c r="J21" s="78"/>
      <c r="K21" s="78"/>
      <c r="L21" s="78"/>
      <c r="M21" s="78"/>
      <c r="N21" s="78">
        <f>SUM(C21:M21)</f>
        <v>2000</v>
      </c>
      <c r="O21" s="79">
        <f>N21/$N$22</f>
        <v>0.11505209271127735</v>
      </c>
      <c r="P21" s="77" t="s">
        <v>385</v>
      </c>
    </row>
    <row r="22" spans="1:16" ht="13">
      <c r="A22" s="80" t="s">
        <v>161</v>
      </c>
      <c r="B22" s="81">
        <f>SUM(B5:B21)</f>
        <v>1529.4299999999998</v>
      </c>
      <c r="C22" s="81">
        <f>SUM(C5:C21)</f>
        <v>3939.59</v>
      </c>
      <c r="D22" s="81">
        <f t="shared" ref="D22:M22" si="2">SUM(D5:D21)</f>
        <v>2613.98</v>
      </c>
      <c r="E22" s="81">
        <f t="shared" si="2"/>
        <v>3347.9700000000003</v>
      </c>
      <c r="F22" s="81">
        <f t="shared" si="2"/>
        <v>2625.8</v>
      </c>
      <c r="G22" s="81">
        <f t="shared" si="2"/>
        <v>3726.66</v>
      </c>
      <c r="H22" s="81">
        <f t="shared" si="2"/>
        <v>0</v>
      </c>
      <c r="I22" s="81">
        <f t="shared" si="2"/>
        <v>0</v>
      </c>
      <c r="J22" s="81">
        <f t="shared" si="2"/>
        <v>0</v>
      </c>
      <c r="K22" s="81">
        <f t="shared" si="2"/>
        <v>0</v>
      </c>
      <c r="L22" s="81">
        <f t="shared" si="2"/>
        <v>0</v>
      </c>
      <c r="M22" s="81">
        <f t="shared" si="2"/>
        <v>0</v>
      </c>
      <c r="N22" s="82">
        <f>SUM(N5:N21)</f>
        <v>17383.43</v>
      </c>
      <c r="O22" s="79">
        <f>N22/$N$22</f>
        <v>1</v>
      </c>
      <c r="P22" s="80" t="s">
        <v>161</v>
      </c>
    </row>
    <row r="23" spans="1:16" ht="12.5">
      <c r="A23" s="242"/>
      <c r="B23" s="243"/>
      <c r="C23" s="243"/>
      <c r="D23" s="78"/>
      <c r="E23" s="78"/>
      <c r="F23" s="78"/>
      <c r="G23" s="78"/>
      <c r="H23" s="78"/>
      <c r="I23" s="78"/>
      <c r="J23" s="78"/>
      <c r="K23" s="78"/>
      <c r="L23" s="78"/>
      <c r="M23" s="78"/>
      <c r="N23" s="78"/>
      <c r="P23" s="242"/>
    </row>
    <row r="24" spans="1:16" ht="13">
      <c r="A24" s="75" t="s">
        <v>162</v>
      </c>
      <c r="B24" s="83" t="s">
        <v>146</v>
      </c>
      <c r="C24" s="83"/>
      <c r="D24" s="83"/>
      <c r="E24" s="83"/>
      <c r="F24" s="83"/>
      <c r="G24" s="83"/>
      <c r="H24" s="83"/>
      <c r="I24" s="83"/>
      <c r="J24" s="83"/>
      <c r="K24" s="83"/>
      <c r="L24" s="83"/>
      <c r="M24" s="83"/>
      <c r="N24" s="83" t="s">
        <v>147</v>
      </c>
      <c r="O24" s="83" t="s">
        <v>163</v>
      </c>
      <c r="P24" s="75" t="s">
        <v>162</v>
      </c>
    </row>
    <row r="25" spans="1:16" ht="12.5" customHeight="1">
      <c r="A25" s="77" t="s">
        <v>352</v>
      </c>
      <c r="B25" s="78">
        <v>361</v>
      </c>
      <c r="C25" s="221">
        <v>1160</v>
      </c>
      <c r="D25" s="221">
        <v>913</v>
      </c>
      <c r="E25" s="78">
        <v>1560</v>
      </c>
      <c r="F25" s="78">
        <v>1470</v>
      </c>
      <c r="G25" s="78">
        <v>3220</v>
      </c>
      <c r="H25" s="221"/>
      <c r="I25" s="78"/>
      <c r="J25" s="78"/>
      <c r="K25" s="78"/>
      <c r="L25" s="78"/>
      <c r="M25" s="78"/>
      <c r="N25" s="78">
        <f>SUM(B25:M25)</f>
        <v>8684</v>
      </c>
      <c r="O25" s="84">
        <f>N25/'2 INGRESOS'!C26</f>
        <v>0.19567813605534148</v>
      </c>
      <c r="P25" s="77" t="s">
        <v>352</v>
      </c>
    </row>
    <row r="26" spans="1:16" ht="12.5">
      <c r="A26" s="77" t="s">
        <v>350</v>
      </c>
      <c r="B26" s="221">
        <v>189</v>
      </c>
      <c r="C26" s="78">
        <f>360+14</f>
        <v>374</v>
      </c>
      <c r="D26" s="221">
        <f>177+235+26+231</f>
        <v>669</v>
      </c>
      <c r="E26" s="78">
        <v>677</v>
      </c>
      <c r="F26" s="78">
        <v>284</v>
      </c>
      <c r="G26" s="78">
        <f>13+478</f>
        <v>491</v>
      </c>
      <c r="H26" s="221"/>
      <c r="I26" s="78"/>
      <c r="J26" s="221"/>
      <c r="M26"/>
      <c r="N26" s="78">
        <f t="shared" ref="N26:N33" si="3">SUM(B26:M26)</f>
        <v>2684</v>
      </c>
      <c r="O26" s="84">
        <f>N26/'2 INGRESOS'!C26</f>
        <v>6.0479055409089884E-2</v>
      </c>
      <c r="P26" s="77" t="s">
        <v>350</v>
      </c>
    </row>
    <row r="27" spans="1:16" ht="12.5">
      <c r="A27" s="77" t="s">
        <v>354</v>
      </c>
      <c r="B27" s="221">
        <v>60</v>
      </c>
      <c r="C27">
        <v>83</v>
      </c>
      <c r="D27" s="78">
        <v>0</v>
      </c>
      <c r="E27" s="78">
        <v>293</v>
      </c>
      <c r="F27" s="78">
        <v>63</v>
      </c>
      <c r="G27" s="78">
        <v>438</v>
      </c>
      <c r="H27" s="221"/>
      <c r="I27" s="78"/>
      <c r="J27" s="78"/>
      <c r="K27" s="78"/>
      <c r="L27" s="78"/>
      <c r="M27" s="78"/>
      <c r="N27" s="78">
        <f t="shared" si="3"/>
        <v>937</v>
      </c>
      <c r="O27" s="84">
        <f>N27/'2 INGRESOS'!C26</f>
        <v>2.1113589760922959E-2</v>
      </c>
      <c r="P27" s="77" t="s">
        <v>354</v>
      </c>
    </row>
    <row r="28" spans="1:16" ht="12.5">
      <c r="A28" s="77" t="s">
        <v>357</v>
      </c>
      <c r="B28" s="221">
        <v>57.9</v>
      </c>
      <c r="C28" s="221">
        <v>44.17</v>
      </c>
      <c r="D28" s="221">
        <v>74</v>
      </c>
      <c r="E28" s="78">
        <v>101</v>
      </c>
      <c r="F28" s="249">
        <v>46</v>
      </c>
      <c r="G28" s="78">
        <v>343</v>
      </c>
      <c r="H28" s="78"/>
      <c r="I28" s="78"/>
      <c r="J28" s="78"/>
      <c r="K28" s="78"/>
      <c r="L28" s="78"/>
      <c r="M28" s="221"/>
      <c r="N28" s="78">
        <f t="shared" si="3"/>
        <v>666.06999999999994</v>
      </c>
      <c r="O28" s="84">
        <f>N28/'2 INGRESOS'!C26</f>
        <v>1.5008675274341467E-2</v>
      </c>
      <c r="P28" s="77" t="s">
        <v>357</v>
      </c>
    </row>
    <row r="29" spans="1:16" ht="12.5">
      <c r="A29" s="77" t="s">
        <v>403</v>
      </c>
      <c r="B29" s="221"/>
      <c r="C29" s="221"/>
      <c r="D29" s="221"/>
      <c r="E29" s="78">
        <v>200</v>
      </c>
      <c r="F29" s="249">
        <v>91</v>
      </c>
      <c r="G29" s="78">
        <v>91.4</v>
      </c>
      <c r="H29" s="78"/>
      <c r="I29" s="78"/>
      <c r="J29" s="78"/>
      <c r="K29" s="78"/>
      <c r="L29" s="78"/>
      <c r="M29" s="221"/>
      <c r="N29" s="78">
        <f t="shared" si="3"/>
        <v>382.4</v>
      </c>
      <c r="O29" s="84">
        <f>N29/'2 INGRESOS'!C26</f>
        <v>8.6166880731877692E-3</v>
      </c>
      <c r="P29" s="77" t="s">
        <v>403</v>
      </c>
    </row>
    <row r="30" spans="1:16" ht="12.5">
      <c r="A30" s="77" t="s">
        <v>351</v>
      </c>
      <c r="B30" s="78">
        <v>160</v>
      </c>
      <c r="C30" s="221">
        <f>170+60</f>
        <v>230</v>
      </c>
      <c r="D30" s="253" t="s">
        <v>401</v>
      </c>
      <c r="E30" s="78">
        <v>1100</v>
      </c>
      <c r="F30" s="253" t="s">
        <v>401</v>
      </c>
      <c r="G30" s="253" t="s">
        <v>401</v>
      </c>
      <c r="H30" s="78"/>
      <c r="I30" s="78"/>
      <c r="J30" s="78"/>
      <c r="K30" s="78"/>
      <c r="L30" s="78"/>
      <c r="M30" s="221"/>
      <c r="N30" s="78">
        <f t="shared" si="3"/>
        <v>1490</v>
      </c>
      <c r="O30" s="84">
        <f>N30/'2 INGRESOS'!C26</f>
        <v>3.3574438360485813E-2</v>
      </c>
      <c r="P30" s="77" t="s">
        <v>351</v>
      </c>
    </row>
    <row r="31" spans="1:16" ht="13">
      <c r="A31" s="80" t="s">
        <v>165</v>
      </c>
      <c r="B31" s="85">
        <f>SUM(B25:B30)</f>
        <v>827.9</v>
      </c>
      <c r="C31" s="85">
        <f t="shared" ref="C31:J31" si="4">SUM(C25:C30)</f>
        <v>1891.17</v>
      </c>
      <c r="D31" s="85">
        <f t="shared" si="4"/>
        <v>1656</v>
      </c>
      <c r="E31" s="85">
        <f t="shared" si="4"/>
        <v>3931</v>
      </c>
      <c r="F31" s="85">
        <f t="shared" si="4"/>
        <v>1954</v>
      </c>
      <c r="G31" s="85">
        <f t="shared" si="4"/>
        <v>4583.3999999999996</v>
      </c>
      <c r="H31" s="85">
        <f t="shared" si="4"/>
        <v>0</v>
      </c>
      <c r="I31" s="85">
        <f t="shared" si="4"/>
        <v>0</v>
      </c>
      <c r="J31" s="85">
        <f t="shared" si="4"/>
        <v>0</v>
      </c>
      <c r="K31" s="85">
        <f>SUM(K25:K30)</f>
        <v>0</v>
      </c>
      <c r="L31" s="85">
        <f>SUM(L25:L30)</f>
        <v>0</v>
      </c>
      <c r="M31" s="85">
        <f>SUM(M25:M30)</f>
        <v>0</v>
      </c>
      <c r="N31" s="85">
        <f>SUM(N25:N30)</f>
        <v>14843.47</v>
      </c>
      <c r="O31" s="86">
        <f>SUM(O25:O30)</f>
        <v>0.3344705829333694</v>
      </c>
      <c r="P31" s="80" t="s">
        <v>165</v>
      </c>
    </row>
    <row r="32" spans="1:16" ht="12.5">
      <c r="A32" s="77" t="s">
        <v>166</v>
      </c>
      <c r="B32" s="221"/>
      <c r="C32" s="221"/>
      <c r="D32" s="78"/>
      <c r="E32" s="78"/>
      <c r="F32" s="78"/>
      <c r="G32" s="259">
        <v>3465</v>
      </c>
      <c r="H32" s="78"/>
      <c r="I32" s="78"/>
      <c r="J32" s="78"/>
      <c r="K32" s="78"/>
      <c r="L32" s="78"/>
      <c r="M32" s="78"/>
      <c r="N32" s="78">
        <f t="shared" si="3"/>
        <v>3465</v>
      </c>
      <c r="O32" s="84">
        <f>N32/'2 INGRESOS'!C26</f>
        <v>7.8077469073210296E-2</v>
      </c>
      <c r="P32" s="77" t="s">
        <v>166</v>
      </c>
    </row>
    <row r="33" spans="1:16" ht="12.5">
      <c r="A33" s="77" t="s">
        <v>348</v>
      </c>
      <c r="B33" s="221">
        <v>240.08</v>
      </c>
      <c r="C33" s="221"/>
      <c r="D33" s="78"/>
      <c r="E33" s="78">
        <f>75+225</f>
        <v>300</v>
      </c>
      <c r="F33" s="78"/>
      <c r="G33" s="78"/>
      <c r="H33" s="78"/>
      <c r="I33" s="78"/>
      <c r="J33" s="78"/>
      <c r="K33" s="78"/>
      <c r="L33" s="78"/>
      <c r="M33" s="78"/>
      <c r="N33" s="78">
        <f t="shared" si="3"/>
        <v>540.08000000000004</v>
      </c>
      <c r="O33" s="84">
        <f>N33/'2 INGRESOS'!C26</f>
        <v>1.2169719912571262E-2</v>
      </c>
      <c r="P33" s="77" t="s">
        <v>348</v>
      </c>
    </row>
    <row r="34" spans="1:16" s="231" customFormat="1" ht="13">
      <c r="A34" s="235" t="s">
        <v>168</v>
      </c>
      <c r="B34" s="224">
        <f>B31+B32+B33</f>
        <v>1067.98</v>
      </c>
      <c r="C34" s="224">
        <f t="shared" ref="C34:M34" si="5">C31+C32+C33</f>
        <v>1891.17</v>
      </c>
      <c r="D34" s="224">
        <f t="shared" si="5"/>
        <v>1656</v>
      </c>
      <c r="E34" s="224">
        <f t="shared" si="5"/>
        <v>4231</v>
      </c>
      <c r="F34" s="224">
        <f t="shared" si="5"/>
        <v>1954</v>
      </c>
      <c r="G34" s="224">
        <f t="shared" si="5"/>
        <v>8048.4</v>
      </c>
      <c r="H34" s="224">
        <f t="shared" si="5"/>
        <v>0</v>
      </c>
      <c r="I34" s="224">
        <f t="shared" si="5"/>
        <v>0</v>
      </c>
      <c r="J34" s="224">
        <f t="shared" si="5"/>
        <v>0</v>
      </c>
      <c r="K34" s="224">
        <f t="shared" si="5"/>
        <v>0</v>
      </c>
      <c r="L34" s="224">
        <f t="shared" si="5"/>
        <v>0</v>
      </c>
      <c r="M34" s="224">
        <f t="shared" si="5"/>
        <v>0</v>
      </c>
      <c r="N34" s="224">
        <f>SUM(N32:N33)</f>
        <v>4005.08</v>
      </c>
      <c r="O34" s="236">
        <f>N34/'2 INGRESOS'!C26</f>
        <v>9.024718898578156E-2</v>
      </c>
      <c r="P34" s="235" t="s">
        <v>168</v>
      </c>
    </row>
    <row r="35" spans="1:16" ht="12.5">
      <c r="M35"/>
      <c r="N35" s="88" t="s">
        <v>169</v>
      </c>
    </row>
    <row r="36" spans="1:16" s="244" customFormat="1" ht="13">
      <c r="A36" s="244" t="s">
        <v>383</v>
      </c>
      <c r="B36" s="245">
        <f>B22+B34</f>
        <v>2597.41</v>
      </c>
      <c r="C36" s="245">
        <f t="shared" ref="C36:J36" si="6">C22+C34</f>
        <v>5830.76</v>
      </c>
      <c r="D36" s="245">
        <f t="shared" si="6"/>
        <v>4269.9799999999996</v>
      </c>
      <c r="E36" s="245">
        <f t="shared" si="6"/>
        <v>7578.97</v>
      </c>
      <c r="F36" s="245">
        <f t="shared" si="6"/>
        <v>4579.8</v>
      </c>
      <c r="G36" s="245">
        <f t="shared" si="6"/>
        <v>11775.06</v>
      </c>
      <c r="H36" s="245">
        <f t="shared" si="6"/>
        <v>0</v>
      </c>
      <c r="I36" s="245">
        <f t="shared" si="6"/>
        <v>0</v>
      </c>
      <c r="J36" s="245">
        <f t="shared" si="6"/>
        <v>0</v>
      </c>
    </row>
    <row r="37" spans="1:16" ht="15.75" customHeight="1">
      <c r="M37"/>
    </row>
    <row r="38" spans="1:16" ht="15.5">
      <c r="A38" s="89" t="s">
        <v>170</v>
      </c>
      <c r="B38" s="77"/>
      <c r="C38" s="77"/>
      <c r="D38" s="77"/>
      <c r="E38" s="77"/>
      <c r="F38" s="77"/>
      <c r="G38" s="77"/>
      <c r="H38" s="77"/>
      <c r="I38" s="77"/>
      <c r="J38" s="77"/>
      <c r="K38" s="77"/>
      <c r="L38" s="77"/>
      <c r="M38" s="77"/>
      <c r="N38" s="77"/>
      <c r="O38" s="77"/>
      <c r="P38" s="77"/>
    </row>
    <row r="39" spans="1:16" ht="15.5">
      <c r="A39" s="90" t="s">
        <v>171</v>
      </c>
      <c r="B39" s="77"/>
      <c r="C39" s="77"/>
      <c r="D39" s="77"/>
      <c r="E39" s="77"/>
      <c r="F39" s="77"/>
      <c r="G39" s="77"/>
      <c r="H39" s="77"/>
      <c r="I39" s="77"/>
      <c r="J39" s="77"/>
      <c r="K39" s="77"/>
      <c r="L39" s="77"/>
      <c r="M39" s="77"/>
      <c r="N39" s="77"/>
      <c r="O39" s="77"/>
      <c r="P39" s="77"/>
    </row>
    <row r="40" spans="1:16" ht="15.5">
      <c r="A40" s="90" t="s">
        <v>172</v>
      </c>
      <c r="B40" s="77"/>
      <c r="C40" s="77"/>
      <c r="D40" s="77"/>
      <c r="E40" s="77"/>
      <c r="F40" s="77"/>
      <c r="G40" s="77"/>
      <c r="H40" s="77"/>
      <c r="I40" s="77"/>
      <c r="J40" s="77"/>
      <c r="K40" s="77"/>
      <c r="L40" s="77"/>
      <c r="M40" s="77"/>
      <c r="N40" s="77"/>
      <c r="O40" s="77"/>
      <c r="P40" s="77"/>
    </row>
    <row r="41" spans="1:16" ht="15.5">
      <c r="A41" s="91" t="s">
        <v>173</v>
      </c>
      <c r="B41" s="92"/>
      <c r="C41" s="92"/>
      <c r="D41" s="92"/>
      <c r="E41" s="92"/>
      <c r="F41" s="92"/>
      <c r="G41" s="92"/>
      <c r="H41" s="92"/>
      <c r="I41" s="92"/>
      <c r="J41" s="92"/>
      <c r="K41" s="92"/>
      <c r="L41" s="92"/>
      <c r="M41" s="92"/>
      <c r="N41" s="92"/>
      <c r="O41" s="92"/>
      <c r="P41" s="92"/>
    </row>
    <row r="42" spans="1:16" ht="15.5">
      <c r="A42" s="91" t="s">
        <v>174</v>
      </c>
      <c r="B42" s="92"/>
      <c r="C42" s="92"/>
      <c r="D42" s="92"/>
      <c r="E42" s="92"/>
      <c r="F42" s="92"/>
      <c r="G42" s="92"/>
      <c r="H42" s="92"/>
      <c r="I42" s="92"/>
      <c r="J42" s="92"/>
      <c r="K42" s="92"/>
      <c r="L42" s="92"/>
      <c r="M42" s="92"/>
      <c r="N42" s="92"/>
      <c r="O42" s="92"/>
      <c r="P42" s="92"/>
    </row>
    <row r="43" spans="1:16" ht="15.5">
      <c r="A43" s="93" t="s">
        <v>175</v>
      </c>
      <c r="B43" s="94"/>
      <c r="C43" s="94"/>
      <c r="D43" s="94"/>
      <c r="E43" s="94"/>
      <c r="F43" s="94"/>
      <c r="G43" s="94"/>
      <c r="H43" s="94"/>
      <c r="I43" s="94"/>
      <c r="J43" s="94"/>
      <c r="K43" s="94"/>
      <c r="L43" s="94"/>
      <c r="M43" s="94"/>
      <c r="N43" s="94"/>
      <c r="O43" s="94"/>
      <c r="P43" s="94"/>
    </row>
  </sheetData>
  <mergeCells count="1">
    <mergeCell ref="A2:N2"/>
  </mergeCells>
  <phoneticPr fontId="42" type="noConversion"/>
  <pageMargins left="0.7" right="0.7" top="0.75" bottom="0.75" header="0.3" footer="0.3"/>
  <pageSetup paperSize="9" orientation="portrait" horizontalDpi="300" verticalDpi="300"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2:E26"/>
  <sheetViews>
    <sheetView tabSelected="1" workbookViewId="0">
      <selection activeCell="A5" sqref="A5:A14"/>
    </sheetView>
  </sheetViews>
  <sheetFormatPr baseColWidth="10" defaultColWidth="12.6328125" defaultRowHeight="15.75" customHeight="1"/>
  <cols>
    <col min="1" max="1" width="45.7265625" customWidth="1"/>
    <col min="2" max="2" width="28.453125" customWidth="1"/>
    <col min="3" max="3" width="42.90625" customWidth="1"/>
    <col min="4" max="4" width="32.36328125" customWidth="1"/>
  </cols>
  <sheetData>
    <row r="2" spans="1:5" ht="15.75" customHeight="1">
      <c r="A2" s="281" t="s">
        <v>176</v>
      </c>
      <c r="B2" s="261"/>
      <c r="C2" s="261"/>
      <c r="D2" s="95"/>
      <c r="E2" s="95"/>
    </row>
    <row r="3" spans="1:5" ht="15.75" customHeight="1">
      <c r="A3" s="95"/>
      <c r="B3" s="95"/>
      <c r="C3" s="95"/>
      <c r="D3" s="95"/>
      <c r="E3" s="95"/>
    </row>
    <row r="4" spans="1:5" ht="13">
      <c r="A4" s="97" t="s">
        <v>177</v>
      </c>
      <c r="B4" s="98" t="s">
        <v>146</v>
      </c>
      <c r="C4" s="98" t="s">
        <v>147</v>
      </c>
      <c r="D4" s="76" t="s">
        <v>148</v>
      </c>
      <c r="E4" s="237" t="s">
        <v>377</v>
      </c>
    </row>
    <row r="5" spans="1:5" ht="15.75" customHeight="1">
      <c r="A5" s="226" t="s">
        <v>358</v>
      </c>
      <c r="B5" s="228"/>
      <c r="C5" s="101">
        <f>'2 INGRESOS mensuales'!N5</f>
        <v>25786</v>
      </c>
      <c r="D5" s="102">
        <f t="shared" ref="D5:D26" si="0">C5/$C$26</f>
        <v>0.58104058225737398</v>
      </c>
      <c r="E5" s="238"/>
    </row>
    <row r="6" spans="1:5" ht="15.75" customHeight="1">
      <c r="A6" s="226" t="s">
        <v>359</v>
      </c>
      <c r="B6" s="228"/>
      <c r="C6" s="101">
        <f>'2 INGRESOS mensuales'!N6</f>
        <v>891</v>
      </c>
      <c r="D6" s="102">
        <f t="shared" si="0"/>
        <v>2.0077063475968365E-2</v>
      </c>
      <c r="E6" s="95"/>
    </row>
    <row r="7" spans="1:5" ht="15.75" customHeight="1">
      <c r="A7" s="99" t="s">
        <v>393</v>
      </c>
      <c r="B7" s="95"/>
      <c r="C7" s="101">
        <f>'2 INGRESOS mensuales'!N7</f>
        <v>1115</v>
      </c>
      <c r="D7" s="102">
        <f t="shared" si="0"/>
        <v>2.5124495820095089E-2</v>
      </c>
      <c r="E7" s="95"/>
    </row>
    <row r="8" spans="1:5" ht="15.75" customHeight="1">
      <c r="A8" s="226" t="s">
        <v>360</v>
      </c>
      <c r="B8" s="228"/>
      <c r="C8" s="101">
        <f>'2 INGRESOS mensuales'!N8</f>
        <v>853</v>
      </c>
      <c r="D8" s="102">
        <f t="shared" si="0"/>
        <v>1.9220802631875436E-2</v>
      </c>
      <c r="E8" s="95"/>
    </row>
    <row r="9" spans="1:5" ht="15.75" customHeight="1">
      <c r="A9" s="226" t="s">
        <v>361</v>
      </c>
      <c r="B9" s="228"/>
      <c r="C9" s="101">
        <f>'2 INGRESOS mensuales'!N9</f>
        <v>5855</v>
      </c>
      <c r="D9" s="102">
        <f t="shared" si="0"/>
        <v>0.13193176953063385</v>
      </c>
      <c r="E9" s="95"/>
    </row>
    <row r="10" spans="1:5" ht="15.75" customHeight="1">
      <c r="A10" s="226" t="s">
        <v>362</v>
      </c>
      <c r="B10" s="228"/>
      <c r="C10" s="101">
        <f>'2 INGRESOS mensuales'!N10</f>
        <v>4114</v>
      </c>
      <c r="D10" s="102">
        <f t="shared" si="0"/>
        <v>9.2701502963113178E-2</v>
      </c>
      <c r="E10" s="95"/>
    </row>
    <row r="11" spans="1:5" ht="15.75" customHeight="1">
      <c r="A11" s="99" t="s">
        <v>392</v>
      </c>
      <c r="B11" s="95"/>
      <c r="C11" s="101">
        <f>'2 INGRESOS mensuales'!N11</f>
        <v>0</v>
      </c>
      <c r="D11" s="102">
        <f t="shared" si="0"/>
        <v>0</v>
      </c>
      <c r="E11" s="95"/>
    </row>
    <row r="12" spans="1:5" ht="15.75" customHeight="1">
      <c r="A12" s="99" t="s">
        <v>398</v>
      </c>
      <c r="B12" s="95"/>
      <c r="C12" s="101">
        <f>'2 INGRESOS mensuales'!N12</f>
        <v>169</v>
      </c>
      <c r="D12" s="102">
        <f t="shared" si="0"/>
        <v>3.8081074382027534E-3</v>
      </c>
      <c r="E12" s="95"/>
    </row>
    <row r="13" spans="1:5" ht="15" customHeight="1">
      <c r="A13" s="99" t="s">
        <v>406</v>
      </c>
      <c r="B13" s="100"/>
      <c r="C13" s="101">
        <f>'2 INGRESOS mensuales'!N13</f>
        <v>5596</v>
      </c>
      <c r="D13" s="102">
        <f t="shared" si="0"/>
        <v>0.12609567588273732</v>
      </c>
      <c r="E13" s="95"/>
    </row>
    <row r="14" spans="1:5" ht="15.75" customHeight="1">
      <c r="A14" s="99" t="s">
        <v>407</v>
      </c>
      <c r="B14" s="100"/>
      <c r="C14" s="101">
        <f t="shared" ref="C14:C25" si="1">+B14*12</f>
        <v>0</v>
      </c>
      <c r="D14" s="102">
        <f t="shared" si="0"/>
        <v>0</v>
      </c>
      <c r="E14" s="95"/>
    </row>
    <row r="15" spans="1:5" ht="15.75" customHeight="1">
      <c r="A15" s="99"/>
      <c r="B15" s="100"/>
      <c r="C15" s="101">
        <f t="shared" si="1"/>
        <v>0</v>
      </c>
      <c r="D15" s="102">
        <f t="shared" si="0"/>
        <v>0</v>
      </c>
      <c r="E15" s="95"/>
    </row>
    <row r="16" spans="1:5" ht="15.75" customHeight="1">
      <c r="A16" s="99"/>
      <c r="B16" s="100"/>
      <c r="C16" s="101">
        <f t="shared" si="1"/>
        <v>0</v>
      </c>
      <c r="D16" s="102">
        <f t="shared" si="0"/>
        <v>0</v>
      </c>
      <c r="E16" s="95"/>
    </row>
    <row r="17" spans="1:5" ht="15.75" customHeight="1">
      <c r="A17" s="99"/>
      <c r="B17" s="100"/>
      <c r="C17" s="101">
        <f t="shared" si="1"/>
        <v>0</v>
      </c>
      <c r="D17" s="102">
        <f t="shared" si="0"/>
        <v>0</v>
      </c>
      <c r="E17" s="95"/>
    </row>
    <row r="18" spans="1:5" ht="15.75" customHeight="1">
      <c r="A18" s="99"/>
      <c r="B18" s="100"/>
      <c r="C18" s="101">
        <f t="shared" si="1"/>
        <v>0</v>
      </c>
      <c r="D18" s="102">
        <f t="shared" si="0"/>
        <v>0</v>
      </c>
      <c r="E18" s="95"/>
    </row>
    <row r="19" spans="1:5" ht="15.75" customHeight="1">
      <c r="A19" s="99"/>
      <c r="B19" s="100"/>
      <c r="C19" s="101">
        <f t="shared" si="1"/>
        <v>0</v>
      </c>
      <c r="D19" s="102">
        <f t="shared" si="0"/>
        <v>0</v>
      </c>
      <c r="E19" s="95"/>
    </row>
    <row r="20" spans="1:5" ht="12.5">
      <c r="A20" s="99"/>
      <c r="B20" s="100"/>
      <c r="C20" s="101">
        <f t="shared" si="1"/>
        <v>0</v>
      </c>
      <c r="D20" s="102">
        <f t="shared" si="0"/>
        <v>0</v>
      </c>
      <c r="E20" s="95"/>
    </row>
    <row r="21" spans="1:5" ht="12.5">
      <c r="A21" s="99"/>
      <c r="B21" s="100"/>
      <c r="C21" s="101">
        <f t="shared" si="1"/>
        <v>0</v>
      </c>
      <c r="D21" s="102">
        <f t="shared" si="0"/>
        <v>0</v>
      </c>
      <c r="E21" s="95"/>
    </row>
    <row r="22" spans="1:5" ht="12.5">
      <c r="A22" s="99"/>
      <c r="B22" s="100"/>
      <c r="C22" s="101">
        <f t="shared" si="1"/>
        <v>0</v>
      </c>
      <c r="D22" s="102">
        <f t="shared" si="0"/>
        <v>0</v>
      </c>
      <c r="E22" s="95"/>
    </row>
    <row r="23" spans="1:5" ht="12.5">
      <c r="A23" s="99"/>
      <c r="B23" s="100"/>
      <c r="C23" s="101">
        <f t="shared" si="1"/>
        <v>0</v>
      </c>
      <c r="D23" s="102">
        <f t="shared" si="0"/>
        <v>0</v>
      </c>
      <c r="E23" s="95"/>
    </row>
    <row r="24" spans="1:5" ht="12.5">
      <c r="A24" s="99"/>
      <c r="B24" s="100"/>
      <c r="C24" s="101">
        <f t="shared" si="1"/>
        <v>0</v>
      </c>
      <c r="D24" s="102">
        <f t="shared" si="0"/>
        <v>0</v>
      </c>
      <c r="E24" s="95"/>
    </row>
    <row r="25" spans="1:5" ht="12.5">
      <c r="A25" s="99"/>
      <c r="B25" s="100"/>
      <c r="C25" s="101">
        <f t="shared" si="1"/>
        <v>0</v>
      </c>
      <c r="D25" s="102">
        <f t="shared" si="0"/>
        <v>0</v>
      </c>
      <c r="E25" s="95"/>
    </row>
    <row r="26" spans="1:5" ht="13">
      <c r="A26" s="97" t="s">
        <v>161</v>
      </c>
      <c r="B26" s="103">
        <f>SUM(B5:B25)</f>
        <v>0</v>
      </c>
      <c r="C26" s="104">
        <f>SUM(C5:C25)</f>
        <v>44379</v>
      </c>
      <c r="D26" s="105">
        <f t="shared" si="0"/>
        <v>1</v>
      </c>
      <c r="E26" s="95"/>
    </row>
  </sheetData>
  <mergeCells count="1">
    <mergeCell ref="A2:C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1DD6E-B73C-4D73-9E32-58D1189EC149}">
  <sheetPr>
    <outlinePr summaryBelow="0" summaryRight="0"/>
  </sheetPr>
  <dimension ref="A2:Q54"/>
  <sheetViews>
    <sheetView topLeftCell="A4" zoomScale="85" zoomScaleNormal="85" workbookViewId="0">
      <selection activeCell="A5" sqref="A5:A14"/>
    </sheetView>
  </sheetViews>
  <sheetFormatPr baseColWidth="10" defaultColWidth="12.6328125" defaultRowHeight="15.75" customHeight="1"/>
  <cols>
    <col min="1" max="1" width="36.81640625" customWidth="1"/>
    <col min="2" max="13" width="12.81640625" customWidth="1"/>
    <col min="14" max="14" width="13.81640625" customWidth="1"/>
    <col min="15" max="15" width="16.08984375" customWidth="1"/>
  </cols>
  <sheetData>
    <row r="2" spans="1:16" ht="15.75" customHeight="1">
      <c r="A2" s="281" t="s">
        <v>176</v>
      </c>
      <c r="B2" s="261"/>
      <c r="C2" s="261"/>
      <c r="D2" s="261"/>
      <c r="E2" s="261"/>
      <c r="F2" s="261"/>
      <c r="G2" s="261"/>
      <c r="H2" s="261"/>
      <c r="I2" s="261"/>
      <c r="J2" s="261"/>
      <c r="K2" s="261"/>
      <c r="L2" s="261"/>
      <c r="M2" s="261"/>
      <c r="N2" s="261"/>
      <c r="O2" s="95"/>
    </row>
    <row r="3" spans="1:16" ht="15.75" customHeight="1">
      <c r="A3" s="95"/>
      <c r="B3" s="95"/>
      <c r="C3" s="95"/>
      <c r="D3" s="95"/>
      <c r="E3" s="95"/>
      <c r="F3" s="95"/>
      <c r="G3" s="95"/>
      <c r="H3" s="95"/>
      <c r="I3" s="95"/>
      <c r="J3" s="95"/>
      <c r="K3" s="95"/>
      <c r="L3" s="95"/>
      <c r="M3" s="95"/>
      <c r="N3" s="95"/>
      <c r="O3" s="95"/>
    </row>
    <row r="4" spans="1:16" ht="26">
      <c r="A4" s="97" t="s">
        <v>177</v>
      </c>
      <c r="B4" s="225" t="s">
        <v>336</v>
      </c>
      <c r="C4" s="225" t="s">
        <v>337</v>
      </c>
      <c r="D4" s="225" t="s">
        <v>338</v>
      </c>
      <c r="E4" s="225" t="s">
        <v>339</v>
      </c>
      <c r="F4" s="225" t="s">
        <v>340</v>
      </c>
      <c r="G4" s="225" t="s">
        <v>341</v>
      </c>
      <c r="H4" s="225" t="s">
        <v>342</v>
      </c>
      <c r="I4" s="225" t="s">
        <v>343</v>
      </c>
      <c r="J4" s="225" t="s">
        <v>344</v>
      </c>
      <c r="K4" s="225" t="s">
        <v>345</v>
      </c>
      <c r="L4" s="225" t="s">
        <v>346</v>
      </c>
      <c r="M4" s="225" t="s">
        <v>347</v>
      </c>
      <c r="N4" s="246" t="s">
        <v>386</v>
      </c>
      <c r="O4" s="247" t="s">
        <v>387</v>
      </c>
    </row>
    <row r="5" spans="1:16" ht="15.75" customHeight="1">
      <c r="A5" s="226" t="s">
        <v>358</v>
      </c>
      <c r="B5" s="100">
        <v>2426</v>
      </c>
      <c r="C5" s="100">
        <v>2674</v>
      </c>
      <c r="D5" s="100">
        <v>2923</v>
      </c>
      <c r="E5" s="227">
        <v>4329</v>
      </c>
      <c r="F5" s="100">
        <f>250+5960</f>
        <v>6210</v>
      </c>
      <c r="G5" s="100">
        <v>7224</v>
      </c>
      <c r="H5" s="100"/>
      <c r="I5" s="100"/>
      <c r="J5" s="100"/>
      <c r="K5" s="100"/>
      <c r="L5" s="100"/>
      <c r="M5" s="100"/>
      <c r="N5" s="101">
        <f>SUM(B5:M5)</f>
        <v>25786</v>
      </c>
      <c r="O5" s="102">
        <f t="shared" ref="O5:O13" si="0">N5/$N$26</f>
        <v>0.58104058225737398</v>
      </c>
      <c r="P5" s="226" t="s">
        <v>358</v>
      </c>
    </row>
    <row r="6" spans="1:16" ht="15.75" customHeight="1">
      <c r="A6" s="226" t="s">
        <v>359</v>
      </c>
      <c r="B6" s="100">
        <v>69</v>
      </c>
      <c r="C6" s="100">
        <v>56</v>
      </c>
      <c r="D6" s="100">
        <v>267</v>
      </c>
      <c r="E6" s="100">
        <f>67+95</f>
        <v>162</v>
      </c>
      <c r="F6" s="100">
        <v>40</v>
      </c>
      <c r="G6" s="100">
        <f>161+136</f>
        <v>297</v>
      </c>
      <c r="H6" s="100"/>
      <c r="I6" s="100"/>
      <c r="J6" s="100"/>
      <c r="K6" s="100"/>
      <c r="L6" s="100"/>
      <c r="M6" s="100"/>
      <c r="N6" s="101">
        <f t="shared" ref="N6:N25" si="1">SUM(B6:M6)</f>
        <v>891</v>
      </c>
      <c r="O6" s="102">
        <f t="shared" si="0"/>
        <v>2.0077063475968365E-2</v>
      </c>
      <c r="P6" s="226" t="s">
        <v>359</v>
      </c>
    </row>
    <row r="7" spans="1:16" ht="15.75" customHeight="1">
      <c r="A7" s="99" t="s">
        <v>393</v>
      </c>
      <c r="B7" s="100">
        <v>230</v>
      </c>
      <c r="C7" s="100">
        <v>42</v>
      </c>
      <c r="D7" s="100">
        <v>266</v>
      </c>
      <c r="E7" s="100">
        <v>514</v>
      </c>
      <c r="F7" s="100">
        <v>63</v>
      </c>
      <c r="G7" s="100">
        <v>0</v>
      </c>
      <c r="H7" s="100"/>
      <c r="I7" s="100"/>
      <c r="J7" s="100"/>
      <c r="K7" s="100"/>
      <c r="L7" s="100"/>
      <c r="M7" s="100"/>
      <c r="N7" s="101">
        <f t="shared" si="1"/>
        <v>1115</v>
      </c>
      <c r="O7" s="102">
        <f t="shared" si="0"/>
        <v>2.5124495820095089E-2</v>
      </c>
      <c r="P7" s="99" t="s">
        <v>393</v>
      </c>
    </row>
    <row r="8" spans="1:16" ht="15.75" customHeight="1">
      <c r="A8" s="226" t="s">
        <v>360</v>
      </c>
      <c r="B8" s="100">
        <v>288</v>
      </c>
      <c r="C8" s="100">
        <v>0</v>
      </c>
      <c r="D8" s="100">
        <f>171+114</f>
        <v>285</v>
      </c>
      <c r="E8" s="100">
        <v>0</v>
      </c>
      <c r="F8" s="100">
        <v>280</v>
      </c>
      <c r="G8" s="100">
        <v>0</v>
      </c>
      <c r="H8" s="100"/>
      <c r="I8" s="100"/>
      <c r="J8" s="100"/>
      <c r="K8" s="100"/>
      <c r="L8" s="100"/>
      <c r="M8" s="100"/>
      <c r="N8" s="101">
        <f t="shared" si="1"/>
        <v>853</v>
      </c>
      <c r="O8" s="102">
        <f t="shared" si="0"/>
        <v>1.9220802631875436E-2</v>
      </c>
      <c r="P8" s="226" t="s">
        <v>360</v>
      </c>
    </row>
    <row r="9" spans="1:16" ht="15.75" customHeight="1">
      <c r="A9" s="226" t="s">
        <v>361</v>
      </c>
      <c r="B9" s="100">
        <v>0</v>
      </c>
      <c r="C9" s="100">
        <v>0</v>
      </c>
      <c r="D9" s="100">
        <v>0</v>
      </c>
      <c r="E9" s="248">
        <v>5855</v>
      </c>
      <c r="F9" s="100">
        <v>0</v>
      </c>
      <c r="G9" s="100">
        <v>0</v>
      </c>
      <c r="H9" s="100">
        <v>0</v>
      </c>
      <c r="I9" s="100">
        <v>0</v>
      </c>
      <c r="J9" s="100">
        <v>0</v>
      </c>
      <c r="K9" s="100">
        <v>0</v>
      </c>
      <c r="L9" s="100">
        <v>0</v>
      </c>
      <c r="M9" s="100">
        <v>0</v>
      </c>
      <c r="N9" s="101">
        <f t="shared" si="1"/>
        <v>5855</v>
      </c>
      <c r="O9" s="102">
        <f t="shared" si="0"/>
        <v>0.13193176953063385</v>
      </c>
      <c r="P9" s="226" t="s">
        <v>361</v>
      </c>
    </row>
    <row r="10" spans="1:16" ht="15.75" customHeight="1">
      <c r="A10" s="226" t="s">
        <v>362</v>
      </c>
      <c r="B10" s="100">
        <v>743</v>
      </c>
      <c r="C10" s="100">
        <v>571</v>
      </c>
      <c r="D10" s="100">
        <v>621</v>
      </c>
      <c r="E10" s="100">
        <v>600</v>
      </c>
      <c r="F10" s="100">
        <f>214+706</f>
        <v>920</v>
      </c>
      <c r="G10" s="100">
        <v>659</v>
      </c>
      <c r="H10" s="100"/>
      <c r="I10" s="100"/>
      <c r="J10" s="100"/>
      <c r="K10" s="100"/>
      <c r="L10" s="100"/>
      <c r="M10" s="100"/>
      <c r="N10" s="101">
        <f t="shared" si="1"/>
        <v>4114</v>
      </c>
      <c r="O10" s="102">
        <f t="shared" si="0"/>
        <v>9.2701502963113178E-2</v>
      </c>
      <c r="P10" s="226" t="s">
        <v>362</v>
      </c>
    </row>
    <row r="11" spans="1:16" ht="15.75" customHeight="1">
      <c r="A11" s="99" t="s">
        <v>392</v>
      </c>
      <c r="B11" s="100">
        <v>0</v>
      </c>
      <c r="C11" s="100">
        <v>0</v>
      </c>
      <c r="D11" s="100">
        <v>0</v>
      </c>
      <c r="E11" s="100">
        <v>0</v>
      </c>
      <c r="F11" s="100">
        <v>0</v>
      </c>
      <c r="G11" s="100">
        <v>0</v>
      </c>
      <c r="H11" s="100"/>
      <c r="I11" s="100"/>
      <c r="J11" s="100"/>
      <c r="K11" s="100"/>
      <c r="L11" s="100"/>
      <c r="M11" s="100"/>
      <c r="N11" s="101">
        <f t="shared" si="1"/>
        <v>0</v>
      </c>
      <c r="O11" s="102">
        <f t="shared" si="0"/>
        <v>0</v>
      </c>
      <c r="P11" s="99" t="s">
        <v>392</v>
      </c>
    </row>
    <row r="12" spans="1:16" ht="15.75" customHeight="1">
      <c r="A12" s="99" t="s">
        <v>398</v>
      </c>
      <c r="B12" s="100">
        <v>20</v>
      </c>
      <c r="C12" s="100">
        <v>149</v>
      </c>
      <c r="D12" s="100">
        <v>0</v>
      </c>
      <c r="E12" s="100">
        <v>0</v>
      </c>
      <c r="F12" s="100">
        <v>0</v>
      </c>
      <c r="G12" s="100">
        <v>0</v>
      </c>
      <c r="H12" s="100"/>
      <c r="I12" s="100"/>
      <c r="J12" s="100"/>
      <c r="K12" s="100"/>
      <c r="L12" s="100"/>
      <c r="M12" s="100"/>
      <c r="N12" s="101">
        <f t="shared" si="1"/>
        <v>169</v>
      </c>
      <c r="O12" s="102">
        <f t="shared" si="0"/>
        <v>3.8081074382027534E-3</v>
      </c>
      <c r="P12" s="99" t="s">
        <v>398</v>
      </c>
    </row>
    <row r="13" spans="1:16" ht="15.75" customHeight="1">
      <c r="A13" s="99" t="s">
        <v>406</v>
      </c>
      <c r="B13" s="100">
        <v>0</v>
      </c>
      <c r="C13" s="100">
        <v>0</v>
      </c>
      <c r="D13" s="100">
        <v>0</v>
      </c>
      <c r="E13" s="100">
        <v>0</v>
      </c>
      <c r="F13" s="100">
        <v>0</v>
      </c>
      <c r="G13" s="100">
        <v>5596</v>
      </c>
      <c r="H13" s="100"/>
      <c r="I13" s="100"/>
      <c r="J13" s="100"/>
      <c r="K13" s="100"/>
      <c r="L13" s="100"/>
      <c r="M13" s="100"/>
      <c r="N13" s="101">
        <f t="shared" si="1"/>
        <v>5596</v>
      </c>
      <c r="O13" s="102">
        <f t="shared" si="0"/>
        <v>0.12609567588273732</v>
      </c>
      <c r="P13" s="99" t="s">
        <v>405</v>
      </c>
    </row>
    <row r="14" spans="1:16" ht="15.75" customHeight="1">
      <c r="A14" s="99" t="s">
        <v>407</v>
      </c>
      <c r="B14" s="100"/>
      <c r="C14" s="100"/>
      <c r="D14" s="100"/>
      <c r="E14" s="100"/>
      <c r="F14" s="100"/>
      <c r="G14" s="100"/>
      <c r="H14" s="100"/>
      <c r="I14" s="100"/>
      <c r="J14" s="100"/>
      <c r="K14" s="100"/>
      <c r="L14" s="100"/>
      <c r="M14" s="100"/>
      <c r="N14" s="101">
        <f t="shared" si="1"/>
        <v>0</v>
      </c>
      <c r="O14" s="102"/>
    </row>
    <row r="15" spans="1:16" ht="15.75" customHeight="1">
      <c r="A15" s="99"/>
      <c r="B15" s="100"/>
      <c r="C15" s="100"/>
      <c r="D15" s="100"/>
      <c r="E15" s="100"/>
      <c r="F15" s="100"/>
      <c r="G15" s="100"/>
      <c r="H15" s="100"/>
      <c r="I15" s="100"/>
      <c r="J15" s="100"/>
      <c r="K15" s="100"/>
      <c r="L15" s="100"/>
      <c r="M15" s="100"/>
      <c r="N15" s="101">
        <f t="shared" si="1"/>
        <v>0</v>
      </c>
      <c r="O15" s="102"/>
    </row>
    <row r="16" spans="1:16" ht="15.75" customHeight="1">
      <c r="A16" s="99"/>
      <c r="B16" s="100"/>
      <c r="C16" s="100"/>
      <c r="D16" s="100"/>
      <c r="E16" s="100"/>
      <c r="F16" s="100"/>
      <c r="G16" s="100"/>
      <c r="H16" s="100"/>
      <c r="I16" s="100"/>
      <c r="J16" s="100"/>
      <c r="K16" s="100"/>
      <c r="L16" s="100"/>
      <c r="M16" s="100"/>
      <c r="N16" s="101">
        <f t="shared" si="1"/>
        <v>0</v>
      </c>
      <c r="O16" s="102"/>
    </row>
    <row r="17" spans="1:15" ht="15.75" customHeight="1">
      <c r="A17" s="99"/>
      <c r="B17" s="100"/>
      <c r="C17" s="100"/>
      <c r="D17" s="100"/>
      <c r="E17" s="100"/>
      <c r="F17" s="100"/>
      <c r="G17" s="100"/>
      <c r="H17" s="100"/>
      <c r="I17" s="100"/>
      <c r="J17" s="100"/>
      <c r="K17" s="100"/>
      <c r="L17" s="100"/>
      <c r="M17" s="100"/>
      <c r="N17" s="101">
        <f t="shared" si="1"/>
        <v>0</v>
      </c>
      <c r="O17" s="102"/>
    </row>
    <row r="18" spans="1:15" ht="15.75" customHeight="1">
      <c r="A18" s="99"/>
      <c r="B18" s="100"/>
      <c r="C18" s="100"/>
      <c r="D18" s="100"/>
      <c r="E18" s="100"/>
      <c r="F18" s="100"/>
      <c r="G18" s="100"/>
      <c r="H18" s="100"/>
      <c r="I18" s="100"/>
      <c r="J18" s="100"/>
      <c r="K18" s="100"/>
      <c r="L18" s="100"/>
      <c r="M18" s="100"/>
      <c r="N18" s="101">
        <f t="shared" si="1"/>
        <v>0</v>
      </c>
      <c r="O18" s="102"/>
    </row>
    <row r="19" spans="1:15" ht="15.75" customHeight="1">
      <c r="A19" s="99"/>
      <c r="B19" s="100"/>
      <c r="C19" s="100"/>
      <c r="D19" s="100"/>
      <c r="E19" s="100"/>
      <c r="F19" s="100"/>
      <c r="G19" s="100"/>
      <c r="H19" s="100"/>
      <c r="I19" s="100"/>
      <c r="J19" s="100"/>
      <c r="K19" s="100"/>
      <c r="L19" s="100"/>
      <c r="M19" s="100"/>
      <c r="N19" s="101">
        <f t="shared" si="1"/>
        <v>0</v>
      </c>
      <c r="O19" s="102"/>
    </row>
    <row r="20" spans="1:15" ht="12.5">
      <c r="A20" s="99"/>
      <c r="B20" s="100"/>
      <c r="C20" s="100"/>
      <c r="D20" s="100"/>
      <c r="E20" s="100"/>
      <c r="F20" s="100"/>
      <c r="G20" s="100"/>
      <c r="H20" s="100"/>
      <c r="I20" s="100"/>
      <c r="J20" s="100"/>
      <c r="K20" s="100"/>
      <c r="L20" s="100"/>
      <c r="M20" s="100"/>
      <c r="N20" s="101">
        <f t="shared" si="1"/>
        <v>0</v>
      </c>
      <c r="O20" s="102"/>
    </row>
    <row r="21" spans="1:15" ht="12.5">
      <c r="A21" s="99"/>
      <c r="B21" s="100"/>
      <c r="C21" s="100"/>
      <c r="D21" s="100"/>
      <c r="E21" s="100"/>
      <c r="F21" s="100"/>
      <c r="G21" s="100"/>
      <c r="H21" s="100"/>
      <c r="I21" s="100"/>
      <c r="J21" s="100"/>
      <c r="K21" s="100"/>
      <c r="L21" s="100"/>
      <c r="M21" s="100"/>
      <c r="N21" s="101">
        <f t="shared" si="1"/>
        <v>0</v>
      </c>
      <c r="O21" s="102"/>
    </row>
    <row r="22" spans="1:15" ht="12.5">
      <c r="A22" s="99"/>
      <c r="B22" s="100"/>
      <c r="C22" s="100"/>
      <c r="D22" s="100"/>
      <c r="E22" s="100"/>
      <c r="F22" s="100"/>
      <c r="G22" s="100"/>
      <c r="H22" s="100"/>
      <c r="I22" s="100"/>
      <c r="J22" s="100"/>
      <c r="K22" s="100"/>
      <c r="L22" s="100"/>
      <c r="M22" s="100"/>
      <c r="N22" s="101">
        <f t="shared" si="1"/>
        <v>0</v>
      </c>
      <c r="O22" s="102"/>
    </row>
    <row r="23" spans="1:15" ht="12.5">
      <c r="A23" s="99"/>
      <c r="B23" s="100"/>
      <c r="C23" s="100"/>
      <c r="D23" s="100"/>
      <c r="E23" s="100"/>
      <c r="F23" s="100"/>
      <c r="G23" s="100"/>
      <c r="H23" s="100"/>
      <c r="I23" s="100"/>
      <c r="J23" s="100"/>
      <c r="K23" s="100"/>
      <c r="L23" s="100"/>
      <c r="M23" s="100"/>
      <c r="N23" s="101">
        <f t="shared" si="1"/>
        <v>0</v>
      </c>
      <c r="O23" s="102"/>
    </row>
    <row r="24" spans="1:15" ht="12.5">
      <c r="A24" s="99"/>
      <c r="B24" s="100"/>
      <c r="C24" s="100"/>
      <c r="D24" s="100"/>
      <c r="E24" s="100"/>
      <c r="F24" s="100"/>
      <c r="G24" s="100"/>
      <c r="H24" s="100"/>
      <c r="I24" s="100"/>
      <c r="J24" s="100"/>
      <c r="K24" s="100"/>
      <c r="L24" s="100"/>
      <c r="M24" s="100"/>
      <c r="N24" s="101">
        <f t="shared" si="1"/>
        <v>0</v>
      </c>
      <c r="O24" s="102"/>
    </row>
    <row r="25" spans="1:15" ht="12.5">
      <c r="A25" s="99"/>
      <c r="B25" s="100"/>
      <c r="C25" s="100"/>
      <c r="D25" s="100"/>
      <c r="E25" s="100"/>
      <c r="F25" s="100"/>
      <c r="G25" s="100"/>
      <c r="H25" s="100"/>
      <c r="I25" s="100"/>
      <c r="J25" s="100"/>
      <c r="K25" s="100"/>
      <c r="L25" s="100"/>
      <c r="M25" s="100"/>
      <c r="N25" s="101">
        <f t="shared" si="1"/>
        <v>0</v>
      </c>
      <c r="O25" s="102"/>
    </row>
    <row r="26" spans="1:15" ht="13">
      <c r="A26" s="97" t="s">
        <v>161</v>
      </c>
      <c r="B26" s="103">
        <f>SUM(B5:B25)</f>
        <v>3776</v>
      </c>
      <c r="C26" s="103">
        <f t="shared" ref="C26:N26" si="2">SUM(C5:C25)</f>
        <v>3492</v>
      </c>
      <c r="D26" s="103">
        <f t="shared" si="2"/>
        <v>4362</v>
      </c>
      <c r="E26" s="103">
        <f t="shared" si="2"/>
        <v>11460</v>
      </c>
      <c r="F26" s="103">
        <f t="shared" si="2"/>
        <v>7513</v>
      </c>
      <c r="G26" s="103">
        <f t="shared" si="2"/>
        <v>13776</v>
      </c>
      <c r="H26" s="103">
        <f t="shared" si="2"/>
        <v>0</v>
      </c>
      <c r="I26" s="103">
        <f t="shared" si="2"/>
        <v>0</v>
      </c>
      <c r="J26" s="103">
        <f t="shared" si="2"/>
        <v>0</v>
      </c>
      <c r="K26" s="103">
        <f t="shared" si="2"/>
        <v>0</v>
      </c>
      <c r="L26" s="103">
        <f t="shared" si="2"/>
        <v>0</v>
      </c>
      <c r="M26" s="103">
        <f t="shared" si="2"/>
        <v>0</v>
      </c>
      <c r="N26" s="103">
        <f t="shared" si="2"/>
        <v>44379</v>
      </c>
      <c r="O26" s="105"/>
    </row>
    <row r="27" spans="1:15" ht="12.5">
      <c r="A27" s="95"/>
      <c r="B27" s="95"/>
      <c r="C27" s="95"/>
      <c r="D27" s="95"/>
      <c r="E27" s="95"/>
      <c r="F27" s="95"/>
      <c r="G27" s="95"/>
      <c r="H27" s="95"/>
      <c r="I27" s="95"/>
      <c r="J27" s="95"/>
      <c r="K27" s="95"/>
      <c r="L27" s="95"/>
      <c r="M27" s="95"/>
      <c r="N27" s="95"/>
      <c r="O27" s="95"/>
    </row>
    <row r="28" spans="1:15" ht="12.5">
      <c r="A28" s="250" t="s">
        <v>394</v>
      </c>
      <c r="B28" s="250">
        <v>1800</v>
      </c>
      <c r="C28" s="250">
        <v>2100</v>
      </c>
      <c r="D28" s="250">
        <v>1700</v>
      </c>
      <c r="E28" s="250">
        <v>1400</v>
      </c>
      <c r="F28" s="250">
        <f>100*F29</f>
        <v>2000</v>
      </c>
      <c r="G28" s="250">
        <f>100*G29</f>
        <v>300</v>
      </c>
      <c r="H28" s="250"/>
      <c r="I28" s="250"/>
      <c r="J28" s="250"/>
      <c r="K28" s="250"/>
      <c r="L28" s="250"/>
      <c r="M28" s="250"/>
      <c r="N28" s="250">
        <f>SUM(B28:M28)</f>
        <v>9300</v>
      </c>
      <c r="O28" s="95"/>
    </row>
    <row r="29" spans="1:15" ht="12.5">
      <c r="A29" s="250" t="s">
        <v>395</v>
      </c>
      <c r="B29" s="250">
        <v>18</v>
      </c>
      <c r="C29" s="250">
        <v>21</v>
      </c>
      <c r="D29" s="250">
        <v>17</v>
      </c>
      <c r="E29" s="250">
        <v>14</v>
      </c>
      <c r="F29" s="250">
        <v>20</v>
      </c>
      <c r="G29" s="250">
        <v>3</v>
      </c>
      <c r="H29" s="250"/>
      <c r="I29" s="250"/>
      <c r="J29" s="250"/>
      <c r="K29" s="250"/>
      <c r="L29" s="250"/>
      <c r="M29" s="250"/>
      <c r="N29" s="250">
        <f>SUM(B29:M29)</f>
        <v>93</v>
      </c>
      <c r="O29" s="95"/>
    </row>
    <row r="30" spans="1:15" ht="15.75" customHeight="1">
      <c r="A30" s="251" t="s">
        <v>396</v>
      </c>
      <c r="B30" s="252">
        <v>300</v>
      </c>
      <c r="C30" s="252">
        <v>300</v>
      </c>
      <c r="D30" s="252">
        <v>200</v>
      </c>
      <c r="E30" s="252">
        <v>600</v>
      </c>
      <c r="F30" s="252">
        <f>100*F31</f>
        <v>600</v>
      </c>
      <c r="G30" s="252">
        <f t="shared" ref="G30:I30" si="3">100*G31</f>
        <v>500</v>
      </c>
      <c r="H30" s="252">
        <f t="shared" si="3"/>
        <v>0</v>
      </c>
      <c r="I30" s="252">
        <f t="shared" si="3"/>
        <v>0</v>
      </c>
      <c r="J30" s="252"/>
      <c r="K30" s="252"/>
      <c r="L30" s="252"/>
      <c r="M30" s="252"/>
      <c r="N30" s="252">
        <f>SUM(B30:M30)</f>
        <v>2500</v>
      </c>
    </row>
    <row r="31" spans="1:15" ht="15.75" customHeight="1">
      <c r="A31" s="251" t="s">
        <v>397</v>
      </c>
      <c r="B31" s="252">
        <v>3</v>
      </c>
      <c r="C31" s="252">
        <v>3</v>
      </c>
      <c r="D31" s="252">
        <v>2</v>
      </c>
      <c r="E31" s="252">
        <v>6</v>
      </c>
      <c r="F31" s="252">
        <v>6</v>
      </c>
      <c r="G31" s="252">
        <v>5</v>
      </c>
      <c r="H31" s="252"/>
      <c r="I31" s="252"/>
      <c r="J31" s="252"/>
      <c r="K31" s="252"/>
      <c r="L31" s="252"/>
      <c r="M31" s="252"/>
      <c r="N31" s="252">
        <f>SUM(B31:M31)</f>
        <v>25</v>
      </c>
    </row>
    <row r="34" spans="1:17" ht="13">
      <c r="A34" s="229" t="s">
        <v>363</v>
      </c>
      <c r="B34" s="225" t="s">
        <v>336</v>
      </c>
      <c r="C34" s="225" t="s">
        <v>337</v>
      </c>
      <c r="D34" s="225" t="s">
        <v>338</v>
      </c>
      <c r="E34" s="225" t="s">
        <v>339</v>
      </c>
      <c r="F34" s="225" t="s">
        <v>340</v>
      </c>
      <c r="G34" s="225" t="s">
        <v>341</v>
      </c>
      <c r="H34" s="225" t="s">
        <v>342</v>
      </c>
      <c r="I34" s="225" t="s">
        <v>343</v>
      </c>
      <c r="J34" s="225" t="s">
        <v>344</v>
      </c>
      <c r="K34" s="225" t="s">
        <v>345</v>
      </c>
      <c r="L34" s="225" t="s">
        <v>346</v>
      </c>
      <c r="M34" s="225" t="s">
        <v>347</v>
      </c>
      <c r="N34" s="98" t="s">
        <v>147</v>
      </c>
      <c r="O34" s="76" t="s">
        <v>148</v>
      </c>
    </row>
    <row r="35" spans="1:17" ht="12.5">
      <c r="A35" s="228" t="s">
        <v>367</v>
      </c>
      <c r="B35" s="95">
        <v>0</v>
      </c>
      <c r="C35" s="95">
        <v>300</v>
      </c>
      <c r="D35" s="95">
        <v>310</v>
      </c>
      <c r="E35" s="95">
        <v>292</v>
      </c>
      <c r="F35" s="95">
        <v>0</v>
      </c>
      <c r="G35" s="95">
        <v>0</v>
      </c>
      <c r="H35" s="95"/>
      <c r="I35" s="95"/>
      <c r="J35" s="95"/>
      <c r="K35" s="95"/>
      <c r="L35" s="95"/>
      <c r="M35" s="95"/>
      <c r="N35" s="101">
        <f t="shared" ref="N35:N46" si="4">SUM(B35:M35)</f>
        <v>902</v>
      </c>
      <c r="O35" s="102">
        <f t="shared" ref="O35:O46" si="5">N35/$N$26</f>
        <v>2.0324928457153158E-2</v>
      </c>
      <c r="Q35" s="228" t="s">
        <v>367</v>
      </c>
    </row>
    <row r="36" spans="1:17" ht="12.5">
      <c r="A36" s="228" t="s">
        <v>364</v>
      </c>
      <c r="B36" s="95">
        <v>600</v>
      </c>
      <c r="C36" s="100">
        <v>471</v>
      </c>
      <c r="D36" s="95">
        <v>635</v>
      </c>
      <c r="E36" s="95">
        <v>500</v>
      </c>
      <c r="F36" s="95">
        <f>40+100</f>
        <v>140</v>
      </c>
      <c r="G36" s="95">
        <v>155</v>
      </c>
      <c r="H36" s="95"/>
      <c r="I36" s="95"/>
      <c r="J36" s="95"/>
      <c r="K36" s="95"/>
      <c r="L36" s="95"/>
      <c r="M36" s="95"/>
      <c r="N36" s="101">
        <f t="shared" si="4"/>
        <v>2501</v>
      </c>
      <c r="O36" s="102">
        <f t="shared" si="5"/>
        <v>5.6355483449379212E-2</v>
      </c>
      <c r="Q36" s="228" t="s">
        <v>364</v>
      </c>
    </row>
    <row r="37" spans="1:17" ht="12.5">
      <c r="A37" s="228" t="s">
        <v>365</v>
      </c>
      <c r="B37" s="95">
        <f>93+512</f>
        <v>605</v>
      </c>
      <c r="C37" s="95">
        <v>800</v>
      </c>
      <c r="D37" s="95">
        <f>197+40+400+127+171</f>
        <v>935</v>
      </c>
      <c r="E37" s="95">
        <f>412+384</f>
        <v>796</v>
      </c>
      <c r="F37" s="95">
        <f>521+1029+100+300+900+250+105+106</f>
        <v>3311</v>
      </c>
      <c r="G37" s="95">
        <f>920+792+200+100+100+109</f>
        <v>2221</v>
      </c>
      <c r="H37" s="95"/>
      <c r="I37" s="95"/>
      <c r="J37" s="95"/>
      <c r="K37" s="95"/>
      <c r="L37" s="95"/>
      <c r="M37" s="95"/>
      <c r="N37" s="101">
        <f t="shared" si="4"/>
        <v>8668</v>
      </c>
      <c r="O37" s="102">
        <f t="shared" si="5"/>
        <v>0.19531760517361815</v>
      </c>
      <c r="Q37" s="228" t="s">
        <v>365</v>
      </c>
    </row>
    <row r="38" spans="1:17" ht="12.5">
      <c r="A38" s="228" t="s">
        <v>366</v>
      </c>
      <c r="B38" s="95">
        <v>298</v>
      </c>
      <c r="C38" s="95">
        <v>634</v>
      </c>
      <c r="D38" s="95">
        <v>0</v>
      </c>
      <c r="E38" s="95">
        <v>0</v>
      </c>
      <c r="F38" s="95">
        <v>100</v>
      </c>
      <c r="G38" s="95">
        <v>0</v>
      </c>
      <c r="H38" s="95"/>
      <c r="I38" s="95"/>
      <c r="J38" s="95"/>
      <c r="K38" s="95"/>
      <c r="L38" s="95"/>
      <c r="M38" s="95"/>
      <c r="N38" s="101">
        <f t="shared" si="4"/>
        <v>1032</v>
      </c>
      <c r="O38" s="102">
        <f t="shared" si="5"/>
        <v>2.3254241871155275E-2</v>
      </c>
      <c r="Q38" s="228" t="s">
        <v>366</v>
      </c>
    </row>
    <row r="39" spans="1:17" ht="12.5">
      <c r="A39" s="228" t="s">
        <v>371</v>
      </c>
      <c r="B39" s="95">
        <v>0</v>
      </c>
      <c r="C39" s="95">
        <v>100</v>
      </c>
      <c r="D39" s="95">
        <v>100</v>
      </c>
      <c r="E39" s="95">
        <v>516</v>
      </c>
      <c r="F39" s="95">
        <f>214+200</f>
        <v>414</v>
      </c>
      <c r="G39" s="95">
        <v>50</v>
      </c>
      <c r="H39" s="95"/>
      <c r="I39" s="95"/>
      <c r="J39" s="95"/>
      <c r="K39" s="95"/>
      <c r="L39" s="95"/>
      <c r="M39" s="95"/>
      <c r="N39" s="101">
        <f t="shared" si="4"/>
        <v>1180</v>
      </c>
      <c r="O39" s="102">
        <f t="shared" si="5"/>
        <v>2.6589152527096149E-2</v>
      </c>
      <c r="Q39" s="228" t="s">
        <v>371</v>
      </c>
    </row>
    <row r="40" spans="1:17" ht="12.5">
      <c r="A40" s="95" t="s">
        <v>391</v>
      </c>
      <c r="B40" s="95">
        <v>400</v>
      </c>
      <c r="C40" s="95">
        <v>300</v>
      </c>
      <c r="D40" s="95">
        <v>100</v>
      </c>
      <c r="E40" s="95">
        <v>518</v>
      </c>
      <c r="F40" s="95">
        <v>0</v>
      </c>
      <c r="G40" s="95">
        <v>0</v>
      </c>
      <c r="H40" s="95"/>
      <c r="I40" s="95"/>
      <c r="J40" s="95"/>
      <c r="K40" s="95"/>
      <c r="L40" s="95"/>
      <c r="M40" s="95"/>
      <c r="N40" s="101">
        <f t="shared" si="4"/>
        <v>1318</v>
      </c>
      <c r="O40" s="102">
        <f t="shared" si="5"/>
        <v>2.9698731381959935E-2</v>
      </c>
      <c r="Q40" s="95" t="s">
        <v>391</v>
      </c>
    </row>
    <row r="41" spans="1:17" ht="12.5">
      <c r="A41" s="228" t="s">
        <v>368</v>
      </c>
      <c r="B41" s="95">
        <v>0</v>
      </c>
      <c r="C41" s="95">
        <v>42</v>
      </c>
      <c r="D41" s="95">
        <v>0</v>
      </c>
      <c r="E41" s="95">
        <v>0</v>
      </c>
      <c r="F41" s="95">
        <v>0</v>
      </c>
      <c r="G41" s="221">
        <v>0</v>
      </c>
      <c r="H41" s="95"/>
      <c r="I41" s="95"/>
      <c r="J41" s="95"/>
      <c r="K41" s="95"/>
      <c r="L41" s="95"/>
      <c r="M41" s="95"/>
      <c r="N41" s="101">
        <f t="shared" si="4"/>
        <v>42</v>
      </c>
      <c r="O41" s="102">
        <f t="shared" si="5"/>
        <v>9.463935645237612E-4</v>
      </c>
      <c r="Q41" s="228" t="s">
        <v>368</v>
      </c>
    </row>
    <row r="42" spans="1:17" ht="12.5">
      <c r="A42" s="228" t="s">
        <v>369</v>
      </c>
      <c r="B42" s="95">
        <v>0</v>
      </c>
      <c r="C42" s="95">
        <v>0</v>
      </c>
      <c r="D42" s="95">
        <v>0</v>
      </c>
      <c r="E42" s="95">
        <v>0</v>
      </c>
      <c r="F42" s="95">
        <v>0</v>
      </c>
      <c r="G42" s="95">
        <v>0</v>
      </c>
      <c r="H42" s="95"/>
      <c r="I42" s="95"/>
      <c r="J42" s="95"/>
      <c r="K42" s="95"/>
      <c r="L42" s="95"/>
      <c r="M42" s="95"/>
      <c r="N42" s="101">
        <f t="shared" si="4"/>
        <v>0</v>
      </c>
      <c r="O42" s="102">
        <f t="shared" si="5"/>
        <v>0</v>
      </c>
      <c r="Q42" s="228" t="s">
        <v>369</v>
      </c>
    </row>
    <row r="43" spans="1:17" ht="12.5">
      <c r="A43" s="228" t="s">
        <v>370</v>
      </c>
      <c r="B43" s="95">
        <v>92</v>
      </c>
      <c r="C43" s="95">
        <v>149</v>
      </c>
      <c r="D43" s="95">
        <v>0</v>
      </c>
      <c r="E43" s="95">
        <f>35+210</f>
        <v>245</v>
      </c>
      <c r="F43" s="95">
        <v>280</v>
      </c>
      <c r="G43" s="95">
        <v>100</v>
      </c>
      <c r="H43" s="95"/>
      <c r="I43" s="95"/>
      <c r="J43" s="95"/>
      <c r="K43" s="95"/>
      <c r="L43" s="95"/>
      <c r="M43" s="95"/>
      <c r="N43" s="101">
        <f t="shared" si="4"/>
        <v>866</v>
      </c>
      <c r="O43" s="102">
        <f t="shared" si="5"/>
        <v>1.9513733973275649E-2</v>
      </c>
      <c r="Q43" s="228" t="s">
        <v>370</v>
      </c>
    </row>
    <row r="44" spans="1:17" ht="12.5">
      <c r="A44" s="228" t="s">
        <v>384</v>
      </c>
      <c r="B44" s="95">
        <v>1197</v>
      </c>
      <c r="C44" s="95">
        <v>693</v>
      </c>
      <c r="D44" s="95">
        <v>2165</v>
      </c>
      <c r="E44" s="95">
        <f>695+1943+100</f>
        <v>2738</v>
      </c>
      <c r="F44" s="95">
        <f>1600+900</f>
        <v>2500</v>
      </c>
      <c r="G44" s="95">
        <f>5500+3946+96+200+271+150+150</f>
        <v>10313</v>
      </c>
      <c r="H44" s="95"/>
      <c r="I44" s="95"/>
      <c r="J44" s="95"/>
      <c r="K44" s="95"/>
      <c r="L44" s="95"/>
      <c r="M44" s="95"/>
      <c r="N44" s="101">
        <f t="shared" si="4"/>
        <v>19606</v>
      </c>
      <c r="O44" s="102">
        <f t="shared" si="5"/>
        <v>0.4417855291917348</v>
      </c>
      <c r="Q44" s="228" t="s">
        <v>384</v>
      </c>
    </row>
    <row r="45" spans="1:17" ht="12.5">
      <c r="A45" s="228" t="s">
        <v>388</v>
      </c>
      <c r="B45" s="95">
        <v>0</v>
      </c>
      <c r="C45" s="95">
        <v>0</v>
      </c>
      <c r="D45" s="95">
        <v>0</v>
      </c>
      <c r="E45" s="95">
        <v>0</v>
      </c>
      <c r="F45" s="95">
        <v>0</v>
      </c>
      <c r="G45" s="95">
        <v>0</v>
      </c>
      <c r="H45" s="95"/>
      <c r="I45" s="95"/>
      <c r="J45" s="95"/>
      <c r="K45" s="95"/>
      <c r="L45" s="95"/>
      <c r="M45" s="95"/>
      <c r="N45" s="101">
        <f t="shared" si="4"/>
        <v>0</v>
      </c>
      <c r="O45" s="102">
        <f t="shared" si="5"/>
        <v>0</v>
      </c>
      <c r="Q45" s="228" t="s">
        <v>388</v>
      </c>
    </row>
    <row r="46" spans="1:17" ht="12.5">
      <c r="A46" s="228" t="s">
        <v>361</v>
      </c>
      <c r="B46" s="95">
        <v>0</v>
      </c>
      <c r="C46" s="95">
        <v>0</v>
      </c>
      <c r="D46" s="95">
        <v>0</v>
      </c>
      <c r="E46" s="95">
        <f>448+5407</f>
        <v>5855</v>
      </c>
      <c r="F46" s="95">
        <v>0</v>
      </c>
      <c r="G46" s="95">
        <v>0</v>
      </c>
      <c r="H46" s="95"/>
      <c r="I46" s="95"/>
      <c r="J46" s="95"/>
      <c r="K46" s="95"/>
      <c r="L46" s="95"/>
      <c r="M46" s="95"/>
      <c r="N46" s="101">
        <f t="shared" si="4"/>
        <v>5855</v>
      </c>
      <c r="O46" s="102">
        <f t="shared" si="5"/>
        <v>0.13193176953063385</v>
      </c>
      <c r="Q46" s="228" t="s">
        <v>361</v>
      </c>
    </row>
    <row r="47" spans="1:17" ht="12.5">
      <c r="A47" s="228" t="s">
        <v>389</v>
      </c>
      <c r="B47" s="95">
        <v>0</v>
      </c>
      <c r="C47" s="95">
        <v>0</v>
      </c>
      <c r="D47" s="95">
        <v>0</v>
      </c>
      <c r="E47" s="95">
        <v>0</v>
      </c>
      <c r="F47" s="95">
        <v>100</v>
      </c>
      <c r="G47" s="95">
        <v>676</v>
      </c>
      <c r="H47" s="95"/>
      <c r="I47" s="95"/>
      <c r="J47" s="95"/>
      <c r="K47" s="95"/>
      <c r="L47" s="95"/>
      <c r="M47" s="95"/>
      <c r="N47" s="101">
        <f t="shared" ref="N47:N49" si="6">SUM(B47:M47)</f>
        <v>776</v>
      </c>
      <c r="O47" s="102">
        <f t="shared" ref="O47:O49" si="7">N47/$N$26</f>
        <v>1.7485747763581874E-2</v>
      </c>
      <c r="Q47" s="228" t="s">
        <v>389</v>
      </c>
    </row>
    <row r="48" spans="1:17" ht="12.5">
      <c r="A48" s="228" t="s">
        <v>390</v>
      </c>
      <c r="B48" s="95">
        <v>484</v>
      </c>
      <c r="C48" s="95">
        <v>3</v>
      </c>
      <c r="D48" s="95">
        <v>57</v>
      </c>
      <c r="E48" s="95">
        <v>0</v>
      </c>
      <c r="F48" s="95">
        <f>354+6+172+105</f>
        <v>637</v>
      </c>
      <c r="G48" s="95">
        <v>161</v>
      </c>
      <c r="H48" s="95"/>
      <c r="I48" s="95"/>
      <c r="J48" s="95"/>
      <c r="K48" s="95"/>
      <c r="L48" s="95"/>
      <c r="M48" s="95"/>
      <c r="N48" s="101">
        <f t="shared" si="6"/>
        <v>1342</v>
      </c>
      <c r="O48" s="102">
        <f t="shared" si="7"/>
        <v>3.0239527704544942E-2</v>
      </c>
      <c r="Q48" s="228" t="s">
        <v>390</v>
      </c>
    </row>
    <row r="49" spans="1:17" ht="12.5">
      <c r="A49" s="95" t="s">
        <v>400</v>
      </c>
      <c r="B49" s="95"/>
      <c r="C49" s="95"/>
      <c r="D49" s="95">
        <v>60</v>
      </c>
      <c r="E49" s="95">
        <v>0</v>
      </c>
      <c r="F49" s="95">
        <v>63</v>
      </c>
      <c r="G49" s="95">
        <v>0</v>
      </c>
      <c r="H49" s="95"/>
      <c r="I49" s="95"/>
      <c r="J49" s="95"/>
      <c r="K49" s="95"/>
      <c r="L49" s="95"/>
      <c r="M49" s="95"/>
      <c r="N49" s="101">
        <f t="shared" si="6"/>
        <v>123</v>
      </c>
      <c r="O49" s="102">
        <f t="shared" si="7"/>
        <v>2.771581153248158E-3</v>
      </c>
      <c r="Q49" s="95" t="s">
        <v>400</v>
      </c>
    </row>
    <row r="50" spans="1:17" s="231" customFormat="1" ht="13">
      <c r="A50" s="230" t="s">
        <v>161</v>
      </c>
      <c r="B50" s="230">
        <f>SUM(B35:B48)</f>
        <v>3676</v>
      </c>
      <c r="C50" s="230">
        <f>SUM(C35:C48)</f>
        <v>3492</v>
      </c>
      <c r="D50" s="230">
        <f>SUM(D35:D46)</f>
        <v>4245</v>
      </c>
      <c r="E50" s="230">
        <f>SUM(E35:E46)</f>
        <v>11460</v>
      </c>
      <c r="F50" s="230">
        <f>SUM(F35:F48)</f>
        <v>7482</v>
      </c>
      <c r="G50" s="230">
        <f>SUM(G35:G49)</f>
        <v>13676</v>
      </c>
      <c r="H50" s="230">
        <f t="shared" ref="H50:I50" si="8">SUM(H35:H48)</f>
        <v>0</v>
      </c>
      <c r="I50" s="230">
        <f t="shared" si="8"/>
        <v>0</v>
      </c>
      <c r="J50" s="230">
        <f t="shared" ref="J50" si="9">SUM(J35:J48)</f>
        <v>0</v>
      </c>
      <c r="K50" s="230">
        <f t="shared" ref="K50" si="10">SUM(K35:K48)</f>
        <v>0</v>
      </c>
      <c r="L50" s="230">
        <f t="shared" ref="L50" si="11">SUM(L35:L48)</f>
        <v>0</v>
      </c>
      <c r="M50" s="230">
        <f t="shared" ref="M50" si="12">SUM(M35:M48)</f>
        <v>0</v>
      </c>
      <c r="N50" s="257">
        <f>SUM(N35:N49)</f>
        <v>44211</v>
      </c>
      <c r="O50" s="258">
        <f>SUM(O35:O49)</f>
        <v>0.996214425741905</v>
      </c>
      <c r="Q50" s="230" t="s">
        <v>161</v>
      </c>
    </row>
    <row r="54" spans="1:17" ht="15.75" customHeight="1">
      <c r="E54" s="95"/>
    </row>
  </sheetData>
  <mergeCells count="1">
    <mergeCell ref="A2:N2"/>
  </mergeCells>
  <phoneticPr fontId="50"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2:C89"/>
  <sheetViews>
    <sheetView workbookViewId="0">
      <selection activeCell="C10" sqref="C10"/>
    </sheetView>
  </sheetViews>
  <sheetFormatPr baseColWidth="10" defaultColWidth="12.6328125" defaultRowHeight="15.75" customHeight="1"/>
  <cols>
    <col min="1" max="1" width="51.90625" customWidth="1"/>
    <col min="2" max="2" width="28.453125" customWidth="1"/>
    <col min="3" max="3" width="42.90625" customWidth="1"/>
  </cols>
  <sheetData>
    <row r="2" spans="1:3" ht="15.75" customHeight="1">
      <c r="A2" s="281" t="s">
        <v>202</v>
      </c>
      <c r="B2" s="261"/>
      <c r="C2" s="261"/>
    </row>
    <row r="3" spans="1:3" ht="15.75" customHeight="1">
      <c r="A3" s="95"/>
      <c r="B3" s="95"/>
      <c r="C3" s="95"/>
    </row>
    <row r="4" spans="1:3" ht="13">
      <c r="A4" s="97" t="s">
        <v>177</v>
      </c>
      <c r="B4" s="98" t="s">
        <v>146</v>
      </c>
      <c r="C4" s="98" t="s">
        <v>147</v>
      </c>
    </row>
    <row r="5" spans="1:3" ht="15.75" customHeight="1">
      <c r="A5" s="99" t="s">
        <v>203</v>
      </c>
      <c r="B5" s="100">
        <v>1000</v>
      </c>
      <c r="C5" s="101">
        <f t="shared" ref="C5:C19" si="0">+B5*12</f>
        <v>12000</v>
      </c>
    </row>
    <row r="6" spans="1:3" ht="15.75" customHeight="1">
      <c r="A6" s="99" t="s">
        <v>204</v>
      </c>
      <c r="B6" s="100">
        <v>0</v>
      </c>
      <c r="C6" s="101">
        <f t="shared" si="0"/>
        <v>0</v>
      </c>
    </row>
    <row r="7" spans="1:3" ht="15.75" customHeight="1">
      <c r="A7" s="99" t="s">
        <v>205</v>
      </c>
      <c r="B7" s="100">
        <v>0</v>
      </c>
      <c r="C7" s="101"/>
    </row>
    <row r="8" spans="1:3" ht="15.75" customHeight="1">
      <c r="A8" s="99"/>
      <c r="B8" s="100"/>
      <c r="C8" s="101">
        <f t="shared" si="0"/>
        <v>0</v>
      </c>
    </row>
    <row r="9" spans="1:3" ht="15.75" customHeight="1">
      <c r="A9" s="99"/>
      <c r="B9" s="100"/>
      <c r="C9" s="101">
        <f t="shared" si="0"/>
        <v>0</v>
      </c>
    </row>
    <row r="10" spans="1:3" ht="15.75" customHeight="1">
      <c r="A10" s="99"/>
      <c r="B10" s="100"/>
      <c r="C10" s="101">
        <f t="shared" si="0"/>
        <v>0</v>
      </c>
    </row>
    <row r="11" spans="1:3" ht="15.75" customHeight="1">
      <c r="A11" s="99"/>
      <c r="B11" s="100"/>
      <c r="C11" s="101">
        <f t="shared" si="0"/>
        <v>0</v>
      </c>
    </row>
    <row r="12" spans="1:3" ht="15.75" customHeight="1">
      <c r="A12" s="99"/>
      <c r="B12" s="100"/>
      <c r="C12" s="101">
        <f t="shared" si="0"/>
        <v>0</v>
      </c>
    </row>
    <row r="13" spans="1:3" ht="15.75" customHeight="1">
      <c r="A13" s="99"/>
      <c r="B13" s="100"/>
      <c r="C13" s="101">
        <f t="shared" si="0"/>
        <v>0</v>
      </c>
    </row>
    <row r="14" spans="1:3" ht="15.75" customHeight="1">
      <c r="A14" s="99"/>
      <c r="B14" s="100"/>
      <c r="C14" s="101">
        <f t="shared" si="0"/>
        <v>0</v>
      </c>
    </row>
    <row r="15" spans="1:3" ht="15.75" customHeight="1">
      <c r="A15" s="99"/>
      <c r="B15" s="100"/>
      <c r="C15" s="101">
        <f t="shared" si="0"/>
        <v>0</v>
      </c>
    </row>
    <row r="16" spans="1:3" ht="15.75" customHeight="1">
      <c r="A16" s="99"/>
      <c r="B16" s="100"/>
      <c r="C16" s="101">
        <f t="shared" si="0"/>
        <v>0</v>
      </c>
    </row>
    <row r="17" spans="1:3" ht="15.75" customHeight="1">
      <c r="A17" s="99"/>
      <c r="B17" s="100"/>
      <c r="C17" s="101">
        <f t="shared" si="0"/>
        <v>0</v>
      </c>
    </row>
    <row r="18" spans="1:3" ht="15.75" customHeight="1">
      <c r="A18" s="99"/>
      <c r="B18" s="100"/>
      <c r="C18" s="101">
        <f t="shared" si="0"/>
        <v>0</v>
      </c>
    </row>
    <row r="19" spans="1:3" ht="15.75" customHeight="1">
      <c r="A19" s="99"/>
      <c r="B19" s="100"/>
      <c r="C19" s="101">
        <f t="shared" si="0"/>
        <v>0</v>
      </c>
    </row>
    <row r="20" spans="1:3" ht="13">
      <c r="A20" s="97" t="s">
        <v>161</v>
      </c>
      <c r="B20" s="103">
        <f>SUM(B5:B19)</f>
        <v>1000</v>
      </c>
      <c r="C20" s="104">
        <f>SUM(C5:C19)</f>
        <v>12000</v>
      </c>
    </row>
    <row r="21" spans="1:3" ht="12.5">
      <c r="A21" s="95"/>
      <c r="B21" s="95"/>
      <c r="C21" s="95"/>
    </row>
    <row r="22" spans="1:3" ht="12.5">
      <c r="A22" s="95"/>
      <c r="B22" s="95"/>
      <c r="C22" s="95"/>
    </row>
    <row r="23" spans="1:3" ht="15.5">
      <c r="A23" s="106" t="s">
        <v>206</v>
      </c>
      <c r="B23" s="95"/>
      <c r="C23" s="95"/>
    </row>
    <row r="24" spans="1:3" ht="12.5">
      <c r="A24" s="95"/>
      <c r="B24" s="95"/>
      <c r="C24" s="95"/>
    </row>
    <row r="25" spans="1:3" ht="12.5">
      <c r="A25" s="95"/>
      <c r="B25" s="95"/>
      <c r="C25" s="95"/>
    </row>
    <row r="26" spans="1:3" ht="12.5">
      <c r="A26" s="95"/>
      <c r="B26" s="95"/>
      <c r="C26" s="95"/>
    </row>
    <row r="27" spans="1:3" ht="12.5">
      <c r="A27" s="95"/>
      <c r="B27" s="95"/>
      <c r="C27" s="95"/>
    </row>
    <row r="28" spans="1:3" ht="18">
      <c r="A28" s="282" t="s">
        <v>178</v>
      </c>
      <c r="B28" s="261"/>
      <c r="C28" s="261"/>
    </row>
    <row r="29" spans="1:3" ht="15.5">
      <c r="A29" s="281" t="s">
        <v>207</v>
      </c>
      <c r="B29" s="261"/>
      <c r="C29" s="261"/>
    </row>
    <row r="30" spans="1:3" ht="12.5">
      <c r="A30" s="95"/>
      <c r="B30" s="95"/>
      <c r="C30" s="95"/>
    </row>
    <row r="31" spans="1:3" ht="13">
      <c r="A31" s="97" t="s">
        <v>177</v>
      </c>
      <c r="B31" s="98" t="s">
        <v>146</v>
      </c>
      <c r="C31" s="98" t="s">
        <v>147</v>
      </c>
    </row>
    <row r="32" spans="1:3" ht="12.5">
      <c r="A32" s="99" t="s">
        <v>179</v>
      </c>
      <c r="B32" s="100"/>
      <c r="C32" s="104">
        <f t="shared" ref="C32:C46" si="1">+B32*12</f>
        <v>0</v>
      </c>
    </row>
    <row r="33" spans="1:3" ht="12.5">
      <c r="A33" s="99" t="s">
        <v>180</v>
      </c>
      <c r="B33" s="100"/>
      <c r="C33" s="104">
        <f t="shared" si="1"/>
        <v>0</v>
      </c>
    </row>
    <row r="34" spans="1:3" ht="12.5">
      <c r="A34" s="99" t="s">
        <v>181</v>
      </c>
      <c r="B34" s="100"/>
      <c r="C34" s="104">
        <f t="shared" si="1"/>
        <v>0</v>
      </c>
    </row>
    <row r="35" spans="1:3" ht="12.5">
      <c r="A35" s="99" t="s">
        <v>182</v>
      </c>
      <c r="B35" s="100"/>
      <c r="C35" s="104">
        <f t="shared" si="1"/>
        <v>0</v>
      </c>
    </row>
    <row r="36" spans="1:3" ht="12.5">
      <c r="A36" s="99" t="s">
        <v>183</v>
      </c>
      <c r="B36" s="100"/>
      <c r="C36" s="104">
        <f t="shared" si="1"/>
        <v>0</v>
      </c>
    </row>
    <row r="37" spans="1:3" ht="12.5">
      <c r="A37" s="99" t="s">
        <v>184</v>
      </c>
      <c r="B37" s="100"/>
      <c r="C37" s="104">
        <f t="shared" si="1"/>
        <v>0</v>
      </c>
    </row>
    <row r="38" spans="1:3" ht="12.5">
      <c r="A38" s="99" t="s">
        <v>185</v>
      </c>
      <c r="B38" s="100"/>
      <c r="C38" s="104">
        <f t="shared" si="1"/>
        <v>0</v>
      </c>
    </row>
    <row r="39" spans="1:3" ht="12.5">
      <c r="A39" s="99" t="s">
        <v>186</v>
      </c>
      <c r="B39" s="100"/>
      <c r="C39" s="104">
        <f t="shared" si="1"/>
        <v>0</v>
      </c>
    </row>
    <row r="40" spans="1:3" ht="12.5">
      <c r="A40" s="99" t="s">
        <v>187</v>
      </c>
      <c r="B40" s="100"/>
      <c r="C40" s="104">
        <f t="shared" si="1"/>
        <v>0</v>
      </c>
    </row>
    <row r="41" spans="1:3" ht="12.5">
      <c r="A41" s="99"/>
      <c r="B41" s="100"/>
      <c r="C41" s="104">
        <f t="shared" si="1"/>
        <v>0</v>
      </c>
    </row>
    <row r="42" spans="1:3" ht="12.5">
      <c r="A42" s="99"/>
      <c r="B42" s="100"/>
      <c r="C42" s="104">
        <f t="shared" si="1"/>
        <v>0</v>
      </c>
    </row>
    <row r="43" spans="1:3" ht="12.5">
      <c r="A43" s="99"/>
      <c r="B43" s="100"/>
      <c r="C43" s="104">
        <f t="shared" si="1"/>
        <v>0</v>
      </c>
    </row>
    <row r="44" spans="1:3" ht="12.5">
      <c r="A44" s="99"/>
      <c r="B44" s="100"/>
      <c r="C44" s="104">
        <f t="shared" si="1"/>
        <v>0</v>
      </c>
    </row>
    <row r="45" spans="1:3" ht="12.5">
      <c r="A45" s="99"/>
      <c r="B45" s="100"/>
      <c r="C45" s="104">
        <f t="shared" si="1"/>
        <v>0</v>
      </c>
    </row>
    <row r="46" spans="1:3" ht="12.5">
      <c r="A46" s="99"/>
      <c r="B46" s="100"/>
      <c r="C46" s="104">
        <f t="shared" si="1"/>
        <v>0</v>
      </c>
    </row>
    <row r="47" spans="1:3" ht="13">
      <c r="A47" s="97" t="s">
        <v>161</v>
      </c>
      <c r="B47" s="103">
        <f>SUM(B32:B46)</f>
        <v>0</v>
      </c>
      <c r="C47" s="104">
        <f>SUM(C32:C46)</f>
        <v>0</v>
      </c>
    </row>
    <row r="50" spans="1:3" ht="15.5">
      <c r="A50" s="281" t="s">
        <v>208</v>
      </c>
      <c r="B50" s="261"/>
      <c r="C50" s="261"/>
    </row>
    <row r="51" spans="1:3" ht="12.5">
      <c r="A51" s="95"/>
      <c r="B51" s="95"/>
      <c r="C51" s="95"/>
    </row>
    <row r="52" spans="1:3" ht="13">
      <c r="A52" s="97" t="s">
        <v>177</v>
      </c>
      <c r="B52" s="98" t="s">
        <v>146</v>
      </c>
      <c r="C52" s="98" t="s">
        <v>147</v>
      </c>
    </row>
    <row r="53" spans="1:3" ht="12.5">
      <c r="A53" s="99" t="s">
        <v>188</v>
      </c>
      <c r="B53" s="100"/>
      <c r="C53" s="104">
        <f t="shared" ref="C53:C67" si="2">+B53*12</f>
        <v>0</v>
      </c>
    </row>
    <row r="54" spans="1:3" ht="12.5">
      <c r="A54" s="99" t="s">
        <v>189</v>
      </c>
      <c r="B54" s="100"/>
      <c r="C54" s="104">
        <f t="shared" si="2"/>
        <v>0</v>
      </c>
    </row>
    <row r="55" spans="1:3" ht="12.5">
      <c r="A55" s="99" t="s">
        <v>190</v>
      </c>
      <c r="B55" s="100"/>
      <c r="C55" s="104">
        <f t="shared" si="2"/>
        <v>0</v>
      </c>
    </row>
    <row r="56" spans="1:3" ht="12.5">
      <c r="A56" s="99" t="s">
        <v>191</v>
      </c>
      <c r="B56" s="100"/>
      <c r="C56" s="104">
        <f t="shared" si="2"/>
        <v>0</v>
      </c>
    </row>
    <row r="57" spans="1:3" ht="12.5">
      <c r="A57" s="99" t="s">
        <v>192</v>
      </c>
      <c r="B57" s="100"/>
      <c r="C57" s="104">
        <f t="shared" si="2"/>
        <v>0</v>
      </c>
    </row>
    <row r="58" spans="1:3" ht="12.5">
      <c r="A58" s="99" t="s">
        <v>187</v>
      </c>
      <c r="B58" s="100"/>
      <c r="C58" s="104">
        <f t="shared" si="2"/>
        <v>0</v>
      </c>
    </row>
    <row r="59" spans="1:3" ht="12.5">
      <c r="A59" s="99" t="s">
        <v>193</v>
      </c>
      <c r="B59" s="100"/>
      <c r="C59" s="104">
        <f t="shared" si="2"/>
        <v>0</v>
      </c>
    </row>
    <row r="60" spans="1:3" ht="12.5">
      <c r="A60" s="99"/>
      <c r="B60" s="100"/>
      <c r="C60" s="104">
        <f t="shared" si="2"/>
        <v>0</v>
      </c>
    </row>
    <row r="61" spans="1:3" ht="12.5">
      <c r="A61" s="99"/>
      <c r="B61" s="100"/>
      <c r="C61" s="104">
        <f t="shared" si="2"/>
        <v>0</v>
      </c>
    </row>
    <row r="62" spans="1:3" ht="12.5">
      <c r="A62" s="99"/>
      <c r="B62" s="100"/>
      <c r="C62" s="104">
        <f t="shared" si="2"/>
        <v>0</v>
      </c>
    </row>
    <row r="63" spans="1:3" ht="12.5">
      <c r="A63" s="99"/>
      <c r="B63" s="100"/>
      <c r="C63" s="104">
        <f t="shared" si="2"/>
        <v>0</v>
      </c>
    </row>
    <row r="64" spans="1:3" ht="12.5">
      <c r="A64" s="99"/>
      <c r="B64" s="100"/>
      <c r="C64" s="104">
        <f t="shared" si="2"/>
        <v>0</v>
      </c>
    </row>
    <row r="65" spans="1:3" ht="12.5">
      <c r="A65" s="99"/>
      <c r="B65" s="100"/>
      <c r="C65" s="104">
        <f t="shared" si="2"/>
        <v>0</v>
      </c>
    </row>
    <row r="66" spans="1:3" ht="12.5">
      <c r="A66" s="99"/>
      <c r="B66" s="100"/>
      <c r="C66" s="104">
        <f t="shared" si="2"/>
        <v>0</v>
      </c>
    </row>
    <row r="67" spans="1:3" ht="12.5">
      <c r="A67" s="99"/>
      <c r="B67" s="100"/>
      <c r="C67" s="104">
        <f t="shared" si="2"/>
        <v>0</v>
      </c>
    </row>
    <row r="68" spans="1:3" ht="13">
      <c r="A68" s="97" t="s">
        <v>161</v>
      </c>
      <c r="B68" s="103">
        <f>SUM(B53:B67)</f>
        <v>0</v>
      </c>
      <c r="C68" s="104">
        <f>SUM(C53:C67)</f>
        <v>0</v>
      </c>
    </row>
    <row r="69" spans="1:3" ht="12.5">
      <c r="A69" s="95"/>
      <c r="B69" s="95"/>
      <c r="C69" s="95"/>
    </row>
    <row r="70" spans="1:3" ht="12.5">
      <c r="A70" s="95"/>
      <c r="B70" s="95"/>
      <c r="C70" s="95"/>
    </row>
    <row r="71" spans="1:3" ht="15.5">
      <c r="A71" s="281" t="s">
        <v>209</v>
      </c>
      <c r="B71" s="261"/>
      <c r="C71" s="261"/>
    </row>
    <row r="72" spans="1:3" ht="12.5">
      <c r="A72" s="95"/>
      <c r="B72" s="95"/>
      <c r="C72" s="95"/>
    </row>
    <row r="73" spans="1:3" ht="13">
      <c r="A73" s="97" t="s">
        <v>177</v>
      </c>
      <c r="B73" s="98" t="s">
        <v>146</v>
      </c>
      <c r="C73" s="98" t="s">
        <v>147</v>
      </c>
    </row>
    <row r="74" spans="1:3" ht="12.5">
      <c r="A74" s="99" t="s">
        <v>194</v>
      </c>
      <c r="B74" s="100"/>
      <c r="C74" s="104">
        <f t="shared" ref="C74:C88" si="3">+B74*12</f>
        <v>0</v>
      </c>
    </row>
    <row r="75" spans="1:3" ht="12.5">
      <c r="A75" s="99" t="s">
        <v>195</v>
      </c>
      <c r="B75" s="100"/>
      <c r="C75" s="104">
        <f t="shared" si="3"/>
        <v>0</v>
      </c>
    </row>
    <row r="76" spans="1:3" ht="12.5">
      <c r="A76" s="99" t="s">
        <v>196</v>
      </c>
      <c r="B76" s="100"/>
      <c r="C76" s="104">
        <f t="shared" si="3"/>
        <v>0</v>
      </c>
    </row>
    <row r="77" spans="1:3" ht="12.5">
      <c r="A77" s="99" t="s">
        <v>197</v>
      </c>
      <c r="B77" s="100"/>
      <c r="C77" s="104">
        <f t="shared" si="3"/>
        <v>0</v>
      </c>
    </row>
    <row r="78" spans="1:3" ht="12.5">
      <c r="A78" s="99" t="s">
        <v>198</v>
      </c>
      <c r="B78" s="100"/>
      <c r="C78" s="104">
        <f t="shared" si="3"/>
        <v>0</v>
      </c>
    </row>
    <row r="79" spans="1:3" ht="12.5">
      <c r="A79" s="99" t="s">
        <v>199</v>
      </c>
      <c r="B79" s="100"/>
      <c r="C79" s="104">
        <f t="shared" si="3"/>
        <v>0</v>
      </c>
    </row>
    <row r="80" spans="1:3" ht="12.5">
      <c r="A80" s="99" t="s">
        <v>200</v>
      </c>
      <c r="B80" s="100"/>
      <c r="C80" s="104">
        <f t="shared" si="3"/>
        <v>0</v>
      </c>
    </row>
    <row r="81" spans="1:3" ht="12.5">
      <c r="A81" s="99" t="s">
        <v>201</v>
      </c>
      <c r="B81" s="100"/>
      <c r="C81" s="104">
        <f t="shared" si="3"/>
        <v>0</v>
      </c>
    </row>
    <row r="82" spans="1:3" ht="12.5">
      <c r="A82" s="99"/>
      <c r="B82" s="100"/>
      <c r="C82" s="104">
        <f t="shared" si="3"/>
        <v>0</v>
      </c>
    </row>
    <row r="83" spans="1:3" ht="12.5">
      <c r="A83" s="99"/>
      <c r="B83" s="100"/>
      <c r="C83" s="104">
        <f t="shared" si="3"/>
        <v>0</v>
      </c>
    </row>
    <row r="84" spans="1:3" ht="12.5">
      <c r="A84" s="99"/>
      <c r="B84" s="100"/>
      <c r="C84" s="104">
        <f t="shared" si="3"/>
        <v>0</v>
      </c>
    </row>
    <row r="85" spans="1:3" ht="12.5">
      <c r="A85" s="99"/>
      <c r="B85" s="100"/>
      <c r="C85" s="104">
        <f t="shared" si="3"/>
        <v>0</v>
      </c>
    </row>
    <row r="86" spans="1:3" ht="12.5">
      <c r="A86" s="99"/>
      <c r="B86" s="100"/>
      <c r="C86" s="104">
        <f t="shared" si="3"/>
        <v>0</v>
      </c>
    </row>
    <row r="87" spans="1:3" ht="12.5">
      <c r="A87" s="99"/>
      <c r="B87" s="100"/>
      <c r="C87" s="104">
        <f t="shared" si="3"/>
        <v>0</v>
      </c>
    </row>
    <row r="88" spans="1:3" ht="12.5">
      <c r="A88" s="99"/>
      <c r="B88" s="100"/>
      <c r="C88" s="104">
        <f t="shared" si="3"/>
        <v>0</v>
      </c>
    </row>
    <row r="89" spans="1:3" ht="13">
      <c r="A89" s="97" t="s">
        <v>161</v>
      </c>
      <c r="B89" s="103">
        <f>SUM(B74:B88)</f>
        <v>0</v>
      </c>
      <c r="C89" s="104">
        <f>SUM(C74:C88)</f>
        <v>0</v>
      </c>
    </row>
  </sheetData>
  <mergeCells count="5">
    <mergeCell ref="A2:C2"/>
    <mergeCell ref="A28:C28"/>
    <mergeCell ref="A29:C29"/>
    <mergeCell ref="A50:C50"/>
    <mergeCell ref="A71:C7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
  <sheetViews>
    <sheetView topLeftCell="A37" workbookViewId="0"/>
  </sheetViews>
  <sheetFormatPr baseColWidth="10" defaultColWidth="12.6328125" defaultRowHeight="15.75" customHeight="1"/>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B2:G42"/>
  <sheetViews>
    <sheetView workbookViewId="0">
      <selection activeCell="C5" sqref="C5"/>
    </sheetView>
  </sheetViews>
  <sheetFormatPr baseColWidth="10" defaultColWidth="12.6328125" defaultRowHeight="15.75" customHeight="1"/>
  <cols>
    <col min="1" max="1" width="5.90625" customWidth="1"/>
    <col min="2" max="2" width="21.1796875" customWidth="1"/>
    <col min="3" max="3" width="30.26953125" customWidth="1"/>
    <col min="4" max="4" width="32.90625" customWidth="1"/>
    <col min="7" max="7" width="60" customWidth="1"/>
  </cols>
  <sheetData>
    <row r="2" spans="2:7" ht="15.5">
      <c r="B2" s="281" t="s">
        <v>210</v>
      </c>
      <c r="C2" s="261"/>
      <c r="D2" s="261"/>
      <c r="E2" s="261"/>
      <c r="F2" s="261"/>
      <c r="G2" s="261"/>
    </row>
    <row r="3" spans="2:7" ht="12.5">
      <c r="B3" s="108"/>
      <c r="C3" s="109"/>
      <c r="D3" s="110"/>
      <c r="E3" s="110"/>
      <c r="F3" s="110"/>
      <c r="G3" s="107"/>
    </row>
    <row r="4" spans="2:7" ht="25">
      <c r="B4" s="111"/>
      <c r="C4" s="241" t="s">
        <v>381</v>
      </c>
      <c r="D4" s="113" t="s">
        <v>212</v>
      </c>
      <c r="E4" s="292" t="s">
        <v>213</v>
      </c>
      <c r="F4" s="291"/>
      <c r="G4" s="114"/>
    </row>
    <row r="5" spans="2:7" ht="12.5">
      <c r="B5" s="115" t="s">
        <v>214</v>
      </c>
      <c r="C5" s="116">
        <f>'2 INGRESOS'!C26</f>
        <v>44379</v>
      </c>
      <c r="D5" s="117"/>
      <c r="E5" s="117"/>
      <c r="F5" s="118">
        <f>C5</f>
        <v>44379</v>
      </c>
      <c r="G5" s="119" t="s">
        <v>215</v>
      </c>
    </row>
    <row r="6" spans="2:7" ht="25">
      <c r="B6" s="233" t="s">
        <v>373</v>
      </c>
      <c r="C6" s="116">
        <f>'1 GASTOS'!C33</f>
        <v>14461.07</v>
      </c>
      <c r="D6" s="120">
        <f>(C6*1)/C5</f>
        <v>0.32585389486018163</v>
      </c>
      <c r="E6" s="121">
        <v>0.3</v>
      </c>
      <c r="F6" s="122">
        <f>(F5*E6)/1</f>
        <v>13313.699999999999</v>
      </c>
      <c r="G6" s="119" t="s">
        <v>217</v>
      </c>
    </row>
    <row r="7" spans="2:7" ht="12.5">
      <c r="B7" s="115" t="s">
        <v>218</v>
      </c>
      <c r="C7" s="123">
        <f>C5-C6</f>
        <v>29917.93</v>
      </c>
      <c r="D7" s="117"/>
      <c r="E7" s="117"/>
      <c r="F7" s="122">
        <f>F5-F6</f>
        <v>31065.300000000003</v>
      </c>
      <c r="G7" s="119"/>
    </row>
    <row r="8" spans="2:7" ht="12.5">
      <c r="B8" s="115" t="s">
        <v>219</v>
      </c>
      <c r="C8" s="124">
        <v>0</v>
      </c>
      <c r="D8" s="120">
        <f>(C8*1)/C7</f>
        <v>0</v>
      </c>
      <c r="E8" s="125">
        <v>0.08</v>
      </c>
      <c r="F8" s="122">
        <f>(F7*E8)/1</f>
        <v>2485.2240000000002</v>
      </c>
      <c r="G8" s="119" t="s">
        <v>220</v>
      </c>
    </row>
    <row r="9" spans="2:7" ht="12.5">
      <c r="B9" s="115" t="s">
        <v>221</v>
      </c>
      <c r="C9" s="116">
        <f>'3 COMPENSACIÓN'!C20</f>
        <v>12000</v>
      </c>
      <c r="D9" s="120">
        <f>(C9*1)/C7</f>
        <v>0.40109726842732768</v>
      </c>
      <c r="E9" s="125">
        <v>0.35</v>
      </c>
      <c r="F9" s="122">
        <f>(F7*E9)/1</f>
        <v>10872.855</v>
      </c>
      <c r="G9" s="119" t="s">
        <v>222</v>
      </c>
    </row>
    <row r="10" spans="2:7" ht="12.5">
      <c r="B10" s="115" t="s">
        <v>223</v>
      </c>
      <c r="C10" s="116">
        <f>'1 GASTOS'!C36</f>
        <v>4005.08</v>
      </c>
      <c r="D10" s="120">
        <f>(C10*1)/C7</f>
        <v>0.13386888731941013</v>
      </c>
      <c r="E10" s="125">
        <v>0.17</v>
      </c>
      <c r="F10" s="122">
        <f>(F7*E10)/1</f>
        <v>5281.1010000000006</v>
      </c>
      <c r="G10" s="119" t="s">
        <v>224</v>
      </c>
    </row>
    <row r="11" spans="2:7" ht="25">
      <c r="B11" s="234" t="s">
        <v>374</v>
      </c>
      <c r="C11" s="127">
        <f>'1 GASTOS'!C25</f>
        <v>15383.43</v>
      </c>
      <c r="D11" s="128">
        <f>(C11*1)/C7</f>
        <v>0.5141876460035838</v>
      </c>
      <c r="E11" s="129">
        <v>0.4</v>
      </c>
      <c r="F11" s="130">
        <f>(F7*E11)/1</f>
        <v>12426.120000000003</v>
      </c>
      <c r="G11" s="131" t="s">
        <v>226</v>
      </c>
    </row>
    <row r="12" spans="2:7" ht="12.5">
      <c r="B12" s="107"/>
      <c r="C12" s="132"/>
      <c r="D12" s="133"/>
      <c r="E12" s="133"/>
      <c r="F12" s="133"/>
      <c r="G12" s="107"/>
    </row>
    <row r="13" spans="2:7" ht="12.5">
      <c r="B13" s="134"/>
      <c r="C13" s="135">
        <f>SUM(C8:C11)</f>
        <v>31388.510000000002</v>
      </c>
      <c r="D13" s="136">
        <f>SUM(D8:D11)</f>
        <v>1.0491538017503217</v>
      </c>
      <c r="E13" s="137">
        <f>SUM(E8:E11)</f>
        <v>1</v>
      </c>
      <c r="F13" s="135">
        <f>SUM(F8:F11)</f>
        <v>31065.300000000003</v>
      </c>
      <c r="G13" s="142"/>
    </row>
    <row r="14" spans="2:7" ht="12.5">
      <c r="B14" s="114"/>
      <c r="C14" s="132"/>
      <c r="D14" s="132"/>
      <c r="E14" s="133"/>
      <c r="F14" s="133"/>
      <c r="G14" s="107"/>
    </row>
    <row r="15" spans="2:7" ht="25">
      <c r="B15" s="138" t="s">
        <v>227</v>
      </c>
      <c r="C15" s="139" t="s">
        <v>228</v>
      </c>
      <c r="D15" s="140">
        <v>1</v>
      </c>
      <c r="E15" s="140">
        <v>1</v>
      </c>
      <c r="F15" s="141" t="s">
        <v>229</v>
      </c>
      <c r="G15" s="107"/>
    </row>
    <row r="18" spans="2:7" ht="15.5">
      <c r="B18" s="293" t="s">
        <v>230</v>
      </c>
      <c r="C18" s="294"/>
      <c r="D18" s="295"/>
      <c r="E18" s="143"/>
      <c r="F18" s="296" t="s">
        <v>231</v>
      </c>
      <c r="G18" s="291"/>
    </row>
    <row r="19" spans="2:7" ht="15.5">
      <c r="B19" s="144"/>
      <c r="C19" s="145"/>
      <c r="D19" s="146"/>
      <c r="E19" s="143"/>
      <c r="F19" s="296" t="s">
        <v>232</v>
      </c>
      <c r="G19" s="291"/>
    </row>
    <row r="20" spans="2:7" ht="15.5">
      <c r="B20" s="147" t="s">
        <v>233</v>
      </c>
      <c r="C20" s="145"/>
      <c r="D20" s="146"/>
      <c r="E20" s="143"/>
      <c r="F20" s="289"/>
      <c r="G20" s="261"/>
    </row>
    <row r="21" spans="2:7" ht="15.5">
      <c r="B21" s="144"/>
      <c r="C21" s="145"/>
      <c r="D21" s="146"/>
      <c r="E21" s="143"/>
      <c r="F21" s="143"/>
      <c r="G21" s="143"/>
    </row>
    <row r="22" spans="2:7" ht="31">
      <c r="B22" s="148" t="s">
        <v>234</v>
      </c>
      <c r="C22" s="149" t="s">
        <v>235</v>
      </c>
      <c r="D22" s="150" t="s">
        <v>236</v>
      </c>
      <c r="E22" s="143"/>
    </row>
    <row r="23" spans="2:7" ht="77.5">
      <c r="B23" s="148" t="s">
        <v>237</v>
      </c>
      <c r="C23" s="151" t="s">
        <v>238</v>
      </c>
      <c r="D23" s="150" t="s">
        <v>239</v>
      </c>
      <c r="E23" s="143"/>
      <c r="G23" s="88">
        <f>30000+G22</f>
        <v>30000</v>
      </c>
    </row>
    <row r="24" spans="2:7" ht="15.5">
      <c r="B24" s="148" t="s">
        <v>240</v>
      </c>
      <c r="C24" s="149" t="s">
        <v>241</v>
      </c>
      <c r="D24" s="150" t="s">
        <v>242</v>
      </c>
      <c r="E24" s="143"/>
    </row>
    <row r="25" spans="2:7" ht="93">
      <c r="B25" s="148" t="s">
        <v>243</v>
      </c>
      <c r="C25" s="149" t="s">
        <v>244</v>
      </c>
      <c r="D25" s="150" t="s">
        <v>245</v>
      </c>
      <c r="E25" s="143"/>
      <c r="F25" s="290" t="s">
        <v>246</v>
      </c>
      <c r="G25" s="291"/>
    </row>
    <row r="26" spans="2:7" ht="31">
      <c r="B26" s="148" t="s">
        <v>247</v>
      </c>
      <c r="C26" s="149" t="s">
        <v>248</v>
      </c>
      <c r="D26" s="150" t="s">
        <v>249</v>
      </c>
      <c r="E26" s="143"/>
      <c r="F26" s="152" t="s">
        <v>250</v>
      </c>
      <c r="G26" s="153"/>
    </row>
    <row r="27" spans="2:7" ht="15.5">
      <c r="B27" s="148" t="s">
        <v>251</v>
      </c>
      <c r="C27" s="149" t="s">
        <v>252</v>
      </c>
      <c r="D27" s="150" t="s">
        <v>253</v>
      </c>
      <c r="E27" s="143"/>
      <c r="F27" s="147" t="s">
        <v>254</v>
      </c>
      <c r="G27" s="146"/>
    </row>
    <row r="28" spans="2:7" ht="15.5">
      <c r="B28" s="148" t="s">
        <v>255</v>
      </c>
      <c r="C28" s="149" t="s">
        <v>256</v>
      </c>
      <c r="D28" s="150" t="s">
        <v>257</v>
      </c>
      <c r="E28" s="143"/>
      <c r="F28" s="154" t="s">
        <v>258</v>
      </c>
      <c r="G28" s="146"/>
    </row>
    <row r="29" spans="2:7" ht="15.5">
      <c r="B29" s="155"/>
      <c r="C29" s="156"/>
      <c r="D29" s="157"/>
      <c r="E29" s="143"/>
      <c r="F29" s="147" t="s">
        <v>259</v>
      </c>
      <c r="G29" s="146"/>
    </row>
    <row r="30" spans="2:7" ht="15.5">
      <c r="B30" s="158"/>
      <c r="C30" s="158"/>
      <c r="D30" s="158"/>
      <c r="E30" s="143"/>
      <c r="F30" s="159" t="s">
        <v>260</v>
      </c>
      <c r="G30" s="160"/>
    </row>
    <row r="31" spans="2:7" ht="15.5">
      <c r="B31" s="144"/>
      <c r="C31" s="283" t="s">
        <v>261</v>
      </c>
      <c r="D31" s="284"/>
      <c r="E31" s="143"/>
      <c r="F31" s="143"/>
      <c r="G31" s="143"/>
    </row>
    <row r="32" spans="2:7" ht="39.75" customHeight="1">
      <c r="B32" s="161"/>
      <c r="C32" s="285" t="s">
        <v>262</v>
      </c>
      <c r="D32" s="276"/>
      <c r="E32" s="143"/>
      <c r="F32" s="143"/>
      <c r="G32" s="143"/>
    </row>
    <row r="34" spans="2:4" ht="15.5">
      <c r="B34" s="286" t="s">
        <v>263</v>
      </c>
      <c r="C34" s="287"/>
      <c r="D34" s="288"/>
    </row>
    <row r="35" spans="2:4" ht="46.5">
      <c r="B35" s="144" t="s">
        <v>264</v>
      </c>
      <c r="C35" s="145" t="s">
        <v>244</v>
      </c>
      <c r="D35" s="162" t="s">
        <v>265</v>
      </c>
    </row>
    <row r="36" spans="2:4" ht="46.5">
      <c r="B36" s="144" t="s">
        <v>266</v>
      </c>
      <c r="C36" s="145" t="s">
        <v>248</v>
      </c>
      <c r="D36" s="162" t="s">
        <v>267</v>
      </c>
    </row>
    <row r="37" spans="2:4" ht="62">
      <c r="B37" s="144" t="s">
        <v>268</v>
      </c>
      <c r="C37" s="145" t="s">
        <v>252</v>
      </c>
      <c r="D37" s="162" t="s">
        <v>269</v>
      </c>
    </row>
    <row r="38" spans="2:4" ht="46.5">
      <c r="B38" s="144" t="s">
        <v>270</v>
      </c>
      <c r="C38" s="145" t="s">
        <v>256</v>
      </c>
      <c r="D38" s="162" t="s">
        <v>271</v>
      </c>
    </row>
    <row r="39" spans="2:4" ht="15.5">
      <c r="B39" s="161"/>
      <c r="C39" s="163"/>
      <c r="D39" s="160"/>
    </row>
    <row r="40" spans="2:4" ht="15.5">
      <c r="B40" s="158"/>
      <c r="C40" s="158"/>
      <c r="D40" s="158"/>
    </row>
    <row r="41" spans="2:4" ht="15.5">
      <c r="B41" s="144"/>
      <c r="C41" s="283" t="s">
        <v>272</v>
      </c>
      <c r="D41" s="284"/>
    </row>
    <row r="42" spans="2:4" ht="15.5">
      <c r="B42" s="161"/>
      <c r="C42" s="285" t="s">
        <v>273</v>
      </c>
      <c r="D42" s="276"/>
    </row>
  </sheetData>
  <mergeCells count="12">
    <mergeCell ref="F20:G20"/>
    <mergeCell ref="F25:G25"/>
    <mergeCell ref="B2:G2"/>
    <mergeCell ref="E4:F4"/>
    <mergeCell ref="B18:D18"/>
    <mergeCell ref="F18:G18"/>
    <mergeCell ref="F19:G19"/>
    <mergeCell ref="C31:D31"/>
    <mergeCell ref="C32:D32"/>
    <mergeCell ref="B34:D34"/>
    <mergeCell ref="C41:D41"/>
    <mergeCell ref="C42:D4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B2:G42"/>
  <sheetViews>
    <sheetView workbookViewId="0"/>
  </sheetViews>
  <sheetFormatPr baseColWidth="10" defaultColWidth="12.6328125" defaultRowHeight="15.75" customHeight="1"/>
  <cols>
    <col min="1" max="1" width="5.90625" customWidth="1"/>
    <col min="2" max="2" width="17" customWidth="1"/>
    <col min="3" max="3" width="30.26953125" customWidth="1"/>
    <col min="4" max="4" width="32.90625" customWidth="1"/>
    <col min="7" max="7" width="60" customWidth="1"/>
  </cols>
  <sheetData>
    <row r="2" spans="2:7" ht="15.5">
      <c r="B2" s="281" t="s">
        <v>274</v>
      </c>
      <c r="C2" s="261"/>
      <c r="D2" s="261"/>
      <c r="E2" s="261"/>
      <c r="F2" s="261"/>
      <c r="G2" s="261"/>
    </row>
    <row r="3" spans="2:7" ht="12.5">
      <c r="B3" s="108"/>
      <c r="C3" s="109"/>
      <c r="D3" s="110"/>
      <c r="E3" s="110"/>
      <c r="F3" s="110"/>
      <c r="G3" s="107"/>
    </row>
    <row r="4" spans="2:7" ht="12.5">
      <c r="B4" s="111"/>
      <c r="C4" s="112" t="s">
        <v>211</v>
      </c>
      <c r="D4" s="113" t="s">
        <v>212</v>
      </c>
      <c r="E4" s="292" t="s">
        <v>213</v>
      </c>
      <c r="F4" s="291"/>
      <c r="G4" s="114"/>
    </row>
    <row r="5" spans="2:7" ht="12.5">
      <c r="B5" s="115" t="s">
        <v>214</v>
      </c>
      <c r="C5" s="116">
        <f>'2 INGRESOS'!C26</f>
        <v>44379</v>
      </c>
      <c r="D5" s="117"/>
      <c r="E5" s="117"/>
      <c r="F5" s="122">
        <f>C5</f>
        <v>44379</v>
      </c>
      <c r="G5" s="119" t="s">
        <v>215</v>
      </c>
    </row>
    <row r="6" spans="2:7" ht="12.5">
      <c r="B6" s="115" t="s">
        <v>216</v>
      </c>
      <c r="C6" s="116">
        <v>0</v>
      </c>
      <c r="D6" s="120">
        <f>(C6*1)/C5</f>
        <v>0</v>
      </c>
      <c r="E6" s="121">
        <v>0</v>
      </c>
      <c r="F6" s="122">
        <f>(F5*E6)/1</f>
        <v>0</v>
      </c>
      <c r="G6" s="119" t="s">
        <v>217</v>
      </c>
    </row>
    <row r="7" spans="2:7" ht="12.5">
      <c r="B7" s="115" t="s">
        <v>275</v>
      </c>
      <c r="C7" s="123">
        <f>C5-C6</f>
        <v>44379</v>
      </c>
      <c r="D7" s="117"/>
      <c r="E7" s="117"/>
      <c r="F7" s="122">
        <f>F5-F6</f>
        <v>44379</v>
      </c>
      <c r="G7" s="119"/>
    </row>
    <row r="8" spans="2:7" ht="12.5">
      <c r="B8" s="115" t="s">
        <v>219</v>
      </c>
      <c r="C8" s="124">
        <v>0</v>
      </c>
      <c r="D8" s="120">
        <f>(C8*1)/C7</f>
        <v>0</v>
      </c>
      <c r="E8" s="125">
        <v>0.08</v>
      </c>
      <c r="F8" s="122">
        <f>(F7*E8)/1</f>
        <v>3550.32</v>
      </c>
      <c r="G8" s="119" t="s">
        <v>220</v>
      </c>
    </row>
    <row r="9" spans="2:7" ht="25">
      <c r="B9" s="115" t="s">
        <v>221</v>
      </c>
      <c r="C9" s="116">
        <f>'3 COMPENSACIÓN'!C20</f>
        <v>12000</v>
      </c>
      <c r="D9" s="120">
        <f>(C9*1)/C7</f>
        <v>0.27039816129250321</v>
      </c>
      <c r="E9" s="125">
        <v>0.35</v>
      </c>
      <c r="F9" s="122">
        <f>(F7*E9)/1</f>
        <v>15532.65</v>
      </c>
      <c r="G9" s="119" t="s">
        <v>222</v>
      </c>
    </row>
    <row r="10" spans="2:7" ht="12.5">
      <c r="B10" s="115" t="s">
        <v>223</v>
      </c>
      <c r="C10" s="116">
        <f>'1 GASTOS'!C36</f>
        <v>4005.08</v>
      </c>
      <c r="D10" s="120">
        <f>(C10*1)/C7</f>
        <v>9.024718898578156E-2</v>
      </c>
      <c r="E10" s="125">
        <v>0.17</v>
      </c>
      <c r="F10" s="122">
        <f>(F7*E10)/1</f>
        <v>7544.43</v>
      </c>
      <c r="G10" s="119" t="s">
        <v>224</v>
      </c>
    </row>
    <row r="11" spans="2:7" ht="12.5">
      <c r="B11" s="126" t="s">
        <v>225</v>
      </c>
      <c r="C11" s="127">
        <f>'1 GASTOS'!C25+'1 GASTOS'!C33</f>
        <v>29844.5</v>
      </c>
      <c r="D11" s="128">
        <f>(C11*1)/C7</f>
        <v>0.67249149372450934</v>
      </c>
      <c r="E11" s="129">
        <v>0.4</v>
      </c>
      <c r="F11" s="130">
        <f>(F7*E11)/1</f>
        <v>17751.600000000002</v>
      </c>
      <c r="G11" s="131" t="s">
        <v>226</v>
      </c>
    </row>
    <row r="12" spans="2:7" ht="12.5">
      <c r="B12" s="107"/>
      <c r="C12" s="132"/>
      <c r="D12" s="133"/>
      <c r="E12" s="133"/>
      <c r="F12" s="133"/>
      <c r="G12" s="107"/>
    </row>
    <row r="13" spans="2:7" ht="12.5">
      <c r="B13" s="134"/>
      <c r="C13" s="135">
        <f>SUM(C8:C11)</f>
        <v>45849.58</v>
      </c>
      <c r="D13" s="136">
        <f>SUM(D8:D11)</f>
        <v>1.0331368440027942</v>
      </c>
      <c r="E13" s="137">
        <f>SUM(E8:E11)</f>
        <v>1</v>
      </c>
      <c r="F13" s="135">
        <f>SUM(F8:F11)</f>
        <v>44379</v>
      </c>
      <c r="G13" s="107"/>
    </row>
    <row r="14" spans="2:7" ht="12.5">
      <c r="B14" s="114"/>
      <c r="C14" s="132"/>
      <c r="D14" s="132"/>
      <c r="E14" s="133"/>
      <c r="F14" s="133"/>
      <c r="G14" s="107"/>
    </row>
    <row r="15" spans="2:7" ht="25">
      <c r="B15" s="138" t="s">
        <v>227</v>
      </c>
      <c r="C15" s="139" t="s">
        <v>228</v>
      </c>
      <c r="D15" s="140">
        <v>1</v>
      </c>
      <c r="E15" s="140">
        <v>1</v>
      </c>
      <c r="F15" s="141" t="s">
        <v>229</v>
      </c>
      <c r="G15" s="107"/>
    </row>
    <row r="18" spans="2:7" ht="15.5">
      <c r="B18" s="293" t="s">
        <v>230</v>
      </c>
      <c r="C18" s="294"/>
      <c r="D18" s="295"/>
      <c r="E18" s="143"/>
      <c r="F18" s="296" t="s">
        <v>231</v>
      </c>
      <c r="G18" s="291"/>
    </row>
    <row r="19" spans="2:7" ht="15.5">
      <c r="B19" s="144"/>
      <c r="C19" s="145"/>
      <c r="D19" s="146"/>
      <c r="E19" s="143"/>
      <c r="F19" s="296" t="s">
        <v>232</v>
      </c>
      <c r="G19" s="291"/>
    </row>
    <row r="20" spans="2:7" ht="15.5">
      <c r="B20" s="147" t="s">
        <v>233</v>
      </c>
      <c r="C20" s="145"/>
      <c r="D20" s="146"/>
      <c r="E20" s="143"/>
      <c r="F20" s="289"/>
      <c r="G20" s="261"/>
    </row>
    <row r="21" spans="2:7" ht="15.5">
      <c r="B21" s="144"/>
      <c r="C21" s="145"/>
      <c r="D21" s="146"/>
      <c r="E21" s="143"/>
      <c r="F21" s="143"/>
      <c r="G21" s="143"/>
    </row>
    <row r="22" spans="2:7" ht="31">
      <c r="B22" s="148" t="s">
        <v>234</v>
      </c>
      <c r="C22" s="149" t="s">
        <v>235</v>
      </c>
      <c r="D22" s="150" t="s">
        <v>236</v>
      </c>
      <c r="E22" s="143"/>
    </row>
    <row r="23" spans="2:7" ht="77.5">
      <c r="B23" s="148" t="s">
        <v>237</v>
      </c>
      <c r="C23" s="151" t="s">
        <v>238</v>
      </c>
      <c r="D23" s="150" t="s">
        <v>239</v>
      </c>
      <c r="E23" s="143"/>
    </row>
    <row r="24" spans="2:7" ht="15.5">
      <c r="B24" s="148" t="s">
        <v>240</v>
      </c>
      <c r="C24" s="149" t="s">
        <v>241</v>
      </c>
      <c r="D24" s="150" t="s">
        <v>242</v>
      </c>
      <c r="E24" s="143"/>
    </row>
    <row r="25" spans="2:7" ht="93">
      <c r="B25" s="148" t="s">
        <v>243</v>
      </c>
      <c r="C25" s="149" t="s">
        <v>244</v>
      </c>
      <c r="D25" s="150" t="s">
        <v>245</v>
      </c>
      <c r="E25" s="143"/>
      <c r="F25" s="290" t="s">
        <v>246</v>
      </c>
      <c r="G25" s="291"/>
    </row>
    <row r="26" spans="2:7" ht="31">
      <c r="B26" s="148" t="s">
        <v>247</v>
      </c>
      <c r="C26" s="149" t="s">
        <v>248</v>
      </c>
      <c r="D26" s="150" t="s">
        <v>249</v>
      </c>
      <c r="E26" s="143"/>
      <c r="F26" s="152" t="s">
        <v>250</v>
      </c>
      <c r="G26" s="153"/>
    </row>
    <row r="27" spans="2:7" ht="15.5">
      <c r="B27" s="148" t="s">
        <v>251</v>
      </c>
      <c r="C27" s="149" t="s">
        <v>252</v>
      </c>
      <c r="D27" s="150" t="s">
        <v>253</v>
      </c>
      <c r="E27" s="143"/>
      <c r="F27" s="147" t="s">
        <v>254</v>
      </c>
      <c r="G27" s="146"/>
    </row>
    <row r="28" spans="2:7" ht="15.5">
      <c r="B28" s="148" t="s">
        <v>255</v>
      </c>
      <c r="C28" s="149" t="s">
        <v>256</v>
      </c>
      <c r="D28" s="150" t="s">
        <v>257</v>
      </c>
      <c r="E28" s="143"/>
      <c r="F28" s="154" t="s">
        <v>258</v>
      </c>
      <c r="G28" s="146"/>
    </row>
    <row r="29" spans="2:7" ht="15.5">
      <c r="B29" s="155"/>
      <c r="C29" s="156"/>
      <c r="D29" s="157"/>
      <c r="E29" s="143"/>
      <c r="F29" s="147" t="s">
        <v>259</v>
      </c>
      <c r="G29" s="146"/>
    </row>
    <row r="30" spans="2:7" ht="15.5">
      <c r="B30" s="158"/>
      <c r="C30" s="158"/>
      <c r="D30" s="158"/>
      <c r="E30" s="143"/>
      <c r="F30" s="159" t="s">
        <v>260</v>
      </c>
      <c r="G30" s="160"/>
    </row>
    <row r="31" spans="2:7" ht="15.5">
      <c r="B31" s="144"/>
      <c r="C31" s="283" t="s">
        <v>261</v>
      </c>
      <c r="D31" s="284"/>
      <c r="E31" s="143"/>
      <c r="F31" s="143"/>
      <c r="G31" s="143"/>
    </row>
    <row r="32" spans="2:7" ht="39.75" customHeight="1">
      <c r="B32" s="161"/>
      <c r="C32" s="285" t="s">
        <v>262</v>
      </c>
      <c r="D32" s="276"/>
      <c r="E32" s="143"/>
      <c r="F32" s="143"/>
      <c r="G32" s="143"/>
    </row>
    <row r="34" spans="2:4" ht="15.5">
      <c r="B34" s="286" t="s">
        <v>263</v>
      </c>
      <c r="C34" s="287"/>
      <c r="D34" s="288"/>
    </row>
    <row r="35" spans="2:4" ht="46.5">
      <c r="B35" s="144" t="s">
        <v>264</v>
      </c>
      <c r="C35" s="145" t="s">
        <v>244</v>
      </c>
      <c r="D35" s="162" t="s">
        <v>265</v>
      </c>
    </row>
    <row r="36" spans="2:4" ht="46.5">
      <c r="B36" s="144" t="s">
        <v>266</v>
      </c>
      <c r="C36" s="145" t="s">
        <v>248</v>
      </c>
      <c r="D36" s="162" t="s">
        <v>267</v>
      </c>
    </row>
    <row r="37" spans="2:4" ht="62">
      <c r="B37" s="144" t="s">
        <v>268</v>
      </c>
      <c r="C37" s="145" t="s">
        <v>252</v>
      </c>
      <c r="D37" s="162" t="s">
        <v>269</v>
      </c>
    </row>
    <row r="38" spans="2:4" ht="46.5">
      <c r="B38" s="144" t="s">
        <v>270</v>
      </c>
      <c r="C38" s="145" t="s">
        <v>256</v>
      </c>
      <c r="D38" s="162" t="s">
        <v>271</v>
      </c>
    </row>
    <row r="39" spans="2:4" ht="15.5">
      <c r="B39" s="161"/>
      <c r="C39" s="163"/>
      <c r="D39" s="160"/>
    </row>
    <row r="40" spans="2:4" ht="15.5">
      <c r="B40" s="158"/>
      <c r="C40" s="158"/>
      <c r="D40" s="158"/>
    </row>
    <row r="41" spans="2:4" ht="15.5">
      <c r="B41" s="144"/>
      <c r="C41" s="283" t="s">
        <v>272</v>
      </c>
      <c r="D41" s="284"/>
    </row>
    <row r="42" spans="2:4" ht="15.5">
      <c r="B42" s="161"/>
      <c r="C42" s="285" t="s">
        <v>273</v>
      </c>
      <c r="D42" s="276"/>
    </row>
  </sheetData>
  <mergeCells count="12">
    <mergeCell ref="F20:G20"/>
    <mergeCell ref="F25:G25"/>
    <mergeCell ref="B2:G2"/>
    <mergeCell ref="E4:F4"/>
    <mergeCell ref="B18:D18"/>
    <mergeCell ref="F18:G18"/>
    <mergeCell ref="F19:G19"/>
    <mergeCell ref="C31:D31"/>
    <mergeCell ref="C32:D32"/>
    <mergeCell ref="B34:D34"/>
    <mergeCell ref="C41:D41"/>
    <mergeCell ref="C42:D4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
  <sheetViews>
    <sheetView workbookViewId="0">
      <selection activeCell="J8" sqref="J8"/>
    </sheetView>
  </sheetViews>
  <sheetFormatPr baseColWidth="10" defaultColWidth="12.6328125" defaultRowHeight="15.75" customHeight="1"/>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B2:I45"/>
  <sheetViews>
    <sheetView topLeftCell="B1" workbookViewId="0">
      <selection activeCell="C5" sqref="C5"/>
    </sheetView>
  </sheetViews>
  <sheetFormatPr baseColWidth="10" defaultColWidth="12.6328125" defaultRowHeight="15.75" customHeight="1"/>
  <cols>
    <col min="1" max="1" width="5.90625" customWidth="1"/>
    <col min="2" max="2" width="17" customWidth="1"/>
    <col min="3" max="3" width="30.26953125" customWidth="1"/>
    <col min="4" max="4" width="32.90625" customWidth="1"/>
    <col min="9" max="9" width="41.08984375" customWidth="1"/>
  </cols>
  <sheetData>
    <row r="2" spans="2:9" ht="15.5">
      <c r="B2" s="281" t="s">
        <v>276</v>
      </c>
      <c r="C2" s="261"/>
      <c r="D2" s="261"/>
      <c r="E2" s="261"/>
      <c r="F2" s="261"/>
      <c r="G2" s="261"/>
      <c r="H2" s="261"/>
      <c r="I2" s="261"/>
    </row>
    <row r="3" spans="2:9" ht="12.5">
      <c r="B3" s="108"/>
      <c r="C3" s="109"/>
      <c r="D3" s="110"/>
      <c r="E3" s="110"/>
      <c r="F3" s="110"/>
      <c r="G3" s="110"/>
      <c r="H3" s="110"/>
      <c r="I3" s="107"/>
    </row>
    <row r="4" spans="2:9" ht="25">
      <c r="B4" s="111"/>
      <c r="C4" s="241" t="s">
        <v>382</v>
      </c>
      <c r="D4" s="113" t="s">
        <v>212</v>
      </c>
      <c r="E4" s="292" t="s">
        <v>213</v>
      </c>
      <c r="F4" s="297"/>
      <c r="G4" s="292" t="s">
        <v>277</v>
      </c>
      <c r="H4" s="291"/>
      <c r="I4" s="107"/>
    </row>
    <row r="5" spans="2:9" ht="12.5">
      <c r="B5" s="115" t="s">
        <v>214</v>
      </c>
      <c r="C5" s="116">
        <f>'2 INGRESOS'!C26</f>
        <v>44379</v>
      </c>
      <c r="D5" s="117"/>
      <c r="E5" s="117"/>
      <c r="F5" s="122">
        <f>C5</f>
        <v>44379</v>
      </c>
      <c r="G5" s="117"/>
      <c r="H5" s="118">
        <v>3180</v>
      </c>
      <c r="I5" s="164"/>
    </row>
    <row r="6" spans="2:9" ht="12.5">
      <c r="B6" s="115" t="s">
        <v>216</v>
      </c>
      <c r="C6" s="116">
        <f>'1 GASTOS'!C33</f>
        <v>14461.07</v>
      </c>
      <c r="D6" s="120">
        <f>(C6*1)/C5</f>
        <v>0.32585389486018163</v>
      </c>
      <c r="E6" s="165">
        <v>0.3</v>
      </c>
      <c r="F6" s="122">
        <f>(F5*E6)/1</f>
        <v>13313.699999999999</v>
      </c>
      <c r="G6" s="166">
        <v>0.4</v>
      </c>
      <c r="H6" s="122">
        <f>(H5*G6)/1</f>
        <v>1272</v>
      </c>
      <c r="I6" s="164"/>
    </row>
    <row r="7" spans="2:9" ht="12.5">
      <c r="B7" s="115" t="s">
        <v>218</v>
      </c>
      <c r="C7" s="123">
        <f>C5-C6</f>
        <v>29917.93</v>
      </c>
      <c r="D7" s="117"/>
      <c r="E7" s="117"/>
      <c r="F7" s="123">
        <f>F5-F6</f>
        <v>31065.300000000003</v>
      </c>
      <c r="G7" s="117">
        <v>0.4</v>
      </c>
      <c r="H7" s="122">
        <f>H5-H6</f>
        <v>1908</v>
      </c>
      <c r="I7" s="164"/>
    </row>
    <row r="8" spans="2:9" ht="25">
      <c r="B8" s="115" t="s">
        <v>278</v>
      </c>
      <c r="C8" s="124">
        <v>0</v>
      </c>
      <c r="D8" s="120">
        <f>(C8*1)/C7</f>
        <v>0</v>
      </c>
      <c r="E8" s="125">
        <v>0.08</v>
      </c>
      <c r="F8" s="122">
        <f>(F7*E8)/1</f>
        <v>2485.2240000000002</v>
      </c>
      <c r="G8" s="166">
        <v>0.01</v>
      </c>
      <c r="H8" s="122">
        <f>(H7*G8)/1</f>
        <v>19.080000000000002</v>
      </c>
      <c r="I8" s="164"/>
    </row>
    <row r="9" spans="2:9" ht="25">
      <c r="B9" s="115" t="s">
        <v>221</v>
      </c>
      <c r="C9" s="116">
        <f>'3 COMPENSACIÓN'!C20</f>
        <v>12000</v>
      </c>
      <c r="D9" s="120">
        <f>(C9*1)/C7</f>
        <v>0.40109726842732768</v>
      </c>
      <c r="E9" s="125">
        <v>0.35</v>
      </c>
      <c r="F9" s="122">
        <f>(F7*E9)/1</f>
        <v>10872.855</v>
      </c>
      <c r="G9" s="166">
        <v>0.35</v>
      </c>
      <c r="H9" s="122">
        <f>(H7*G9)/1</f>
        <v>667.8</v>
      </c>
      <c r="I9" s="164"/>
    </row>
    <row r="10" spans="2:9" ht="39">
      <c r="B10" s="115" t="s">
        <v>223</v>
      </c>
      <c r="C10" s="116">
        <f>'1 GASTOS'!C36</f>
        <v>4005.08</v>
      </c>
      <c r="D10" s="120">
        <f>(C10*1)/C7</f>
        <v>0.13386888731941013</v>
      </c>
      <c r="E10" s="125">
        <v>0.17</v>
      </c>
      <c r="F10" s="122">
        <f>(F7*E10)/1</f>
        <v>5281.1010000000006</v>
      </c>
      <c r="G10" s="166">
        <v>0.13</v>
      </c>
      <c r="H10" s="122">
        <f>(H7*G10)/1</f>
        <v>248.04000000000002</v>
      </c>
      <c r="I10" s="167" t="s">
        <v>279</v>
      </c>
    </row>
    <row r="11" spans="2:9" ht="13">
      <c r="B11" s="126" t="s">
        <v>225</v>
      </c>
      <c r="C11" s="127">
        <f>'1 GASTOS'!C25</f>
        <v>15383.43</v>
      </c>
      <c r="D11" s="128">
        <f>(C11*1)/C7</f>
        <v>0.5141876460035838</v>
      </c>
      <c r="E11" s="129">
        <v>0.4</v>
      </c>
      <c r="F11" s="130">
        <f>(F7*E11)/1</f>
        <v>12426.120000000003</v>
      </c>
      <c r="G11" s="168">
        <f>H11/H7</f>
        <v>0.51000000000000012</v>
      </c>
      <c r="H11" s="130">
        <f>H7-H8-H9-H10</f>
        <v>973.08000000000015</v>
      </c>
      <c r="I11" s="169">
        <f>((H7*D11)-H11)/3</f>
        <v>2.6633428582792553</v>
      </c>
    </row>
    <row r="12" spans="2:9" ht="12.5">
      <c r="B12" s="107"/>
      <c r="C12" s="132"/>
      <c r="D12" s="133"/>
      <c r="E12" s="133"/>
      <c r="F12" s="133"/>
      <c r="G12" s="133"/>
      <c r="H12" s="132"/>
      <c r="I12" s="107"/>
    </row>
    <row r="13" spans="2:9" ht="12.5">
      <c r="B13" s="134"/>
      <c r="C13" s="135">
        <f t="shared" ref="C13:H13" si="0">SUM(C8:C11)</f>
        <v>31388.510000000002</v>
      </c>
      <c r="D13" s="136">
        <f t="shared" si="0"/>
        <v>1.0491538017503217</v>
      </c>
      <c r="E13" s="137">
        <f t="shared" si="0"/>
        <v>1</v>
      </c>
      <c r="F13" s="135">
        <f t="shared" si="0"/>
        <v>31065.300000000003</v>
      </c>
      <c r="G13" s="137">
        <f t="shared" si="0"/>
        <v>1</v>
      </c>
      <c r="H13" s="135">
        <f t="shared" si="0"/>
        <v>1908.0000000000002</v>
      </c>
      <c r="I13" s="107"/>
    </row>
    <row r="14" spans="2:9" ht="12.5">
      <c r="B14" s="114"/>
      <c r="C14" s="132"/>
      <c r="D14" s="132"/>
      <c r="E14" s="133"/>
      <c r="F14" s="133"/>
      <c r="G14" s="133"/>
      <c r="H14" s="132"/>
      <c r="I14" s="107"/>
    </row>
    <row r="15" spans="2:9" ht="25">
      <c r="B15" s="138" t="s">
        <v>227</v>
      </c>
      <c r="C15" s="139" t="s">
        <v>228</v>
      </c>
      <c r="D15" s="140">
        <v>1</v>
      </c>
      <c r="E15" s="140">
        <v>1</v>
      </c>
      <c r="F15" s="141" t="s">
        <v>229</v>
      </c>
      <c r="G15" s="140">
        <v>1</v>
      </c>
      <c r="H15" s="170" t="s">
        <v>280</v>
      </c>
      <c r="I15" s="107"/>
    </row>
    <row r="18" spans="2:9" ht="15.5">
      <c r="B18" s="293" t="s">
        <v>230</v>
      </c>
      <c r="C18" s="294"/>
      <c r="D18" s="295"/>
      <c r="E18" s="143"/>
      <c r="F18" s="158"/>
      <c r="G18" s="158"/>
      <c r="H18" s="158"/>
      <c r="I18" s="158"/>
    </row>
    <row r="19" spans="2:9" ht="15.5">
      <c r="B19" s="144"/>
      <c r="C19" s="145"/>
      <c r="D19" s="146"/>
      <c r="E19" s="171"/>
      <c r="F19" s="283" t="s">
        <v>281</v>
      </c>
      <c r="G19" s="287"/>
      <c r="H19" s="287"/>
      <c r="I19" s="284"/>
    </row>
    <row r="20" spans="2:9" ht="15.5">
      <c r="B20" s="147" t="s">
        <v>233</v>
      </c>
      <c r="C20" s="145"/>
      <c r="D20" s="146"/>
      <c r="E20" s="171"/>
      <c r="F20" s="298" t="s">
        <v>282</v>
      </c>
      <c r="G20" s="299"/>
      <c r="H20" s="299"/>
      <c r="I20" s="276"/>
    </row>
    <row r="21" spans="2:9" ht="15.5">
      <c r="B21" s="144"/>
      <c r="C21" s="145"/>
      <c r="D21" s="146"/>
      <c r="E21" s="143"/>
      <c r="F21" s="143"/>
      <c r="G21" s="143"/>
      <c r="H21" s="143"/>
      <c r="I21" s="143"/>
    </row>
    <row r="22" spans="2:9" ht="31">
      <c r="B22" s="148" t="s">
        <v>234</v>
      </c>
      <c r="C22" s="149" t="s">
        <v>235</v>
      </c>
      <c r="D22" s="150" t="s">
        <v>236</v>
      </c>
      <c r="E22" s="143"/>
      <c r="F22" s="296" t="s">
        <v>231</v>
      </c>
      <c r="G22" s="297"/>
      <c r="H22" s="297"/>
      <c r="I22" s="291"/>
    </row>
    <row r="23" spans="2:9" ht="77.5">
      <c r="B23" s="148" t="s">
        <v>237</v>
      </c>
      <c r="C23" s="151" t="s">
        <v>238</v>
      </c>
      <c r="D23" s="150" t="s">
        <v>239</v>
      </c>
      <c r="E23" s="171"/>
      <c r="F23" s="296" t="s">
        <v>283</v>
      </c>
      <c r="G23" s="297"/>
      <c r="H23" s="297"/>
      <c r="I23" s="291"/>
    </row>
    <row r="24" spans="2:9" ht="15.5">
      <c r="B24" s="148" t="s">
        <v>240</v>
      </c>
      <c r="C24" s="149" t="s">
        <v>241</v>
      </c>
      <c r="D24" s="150" t="s">
        <v>242</v>
      </c>
      <c r="E24" s="143"/>
    </row>
    <row r="25" spans="2:9" ht="93">
      <c r="B25" s="148" t="s">
        <v>243</v>
      </c>
      <c r="C25" s="149" t="s">
        <v>244</v>
      </c>
      <c r="D25" s="150" t="s">
        <v>245</v>
      </c>
      <c r="E25" s="143"/>
      <c r="F25" s="290" t="s">
        <v>246</v>
      </c>
      <c r="G25" s="297"/>
      <c r="H25" s="297"/>
      <c r="I25" s="291"/>
    </row>
    <row r="26" spans="2:9" ht="31">
      <c r="B26" s="148" t="s">
        <v>247</v>
      </c>
      <c r="C26" s="149" t="s">
        <v>248</v>
      </c>
      <c r="D26" s="150" t="s">
        <v>249</v>
      </c>
      <c r="E26" s="143"/>
      <c r="F26" s="152" t="s">
        <v>250</v>
      </c>
      <c r="G26" s="172"/>
      <c r="H26" s="172"/>
      <c r="I26" s="153"/>
    </row>
    <row r="27" spans="2:9" ht="15.5">
      <c r="B27" s="148" t="s">
        <v>251</v>
      </c>
      <c r="C27" s="149" t="s">
        <v>252</v>
      </c>
      <c r="D27" s="150" t="s">
        <v>253</v>
      </c>
      <c r="E27" s="143"/>
      <c r="F27" s="147" t="s">
        <v>254</v>
      </c>
      <c r="G27" s="173"/>
      <c r="H27" s="145"/>
      <c r="I27" s="146"/>
    </row>
    <row r="28" spans="2:9" ht="15.5">
      <c r="B28" s="148" t="s">
        <v>255</v>
      </c>
      <c r="C28" s="149" t="s">
        <v>256</v>
      </c>
      <c r="D28" s="150" t="s">
        <v>257</v>
      </c>
      <c r="E28" s="143"/>
      <c r="F28" s="154" t="s">
        <v>258</v>
      </c>
      <c r="G28" s="173"/>
      <c r="H28" s="173"/>
      <c r="I28" s="146"/>
    </row>
    <row r="29" spans="2:9" ht="15.5">
      <c r="B29" s="155"/>
      <c r="C29" s="156"/>
      <c r="D29" s="157"/>
      <c r="E29" s="143"/>
      <c r="F29" s="147" t="s">
        <v>259</v>
      </c>
      <c r="G29" s="173"/>
      <c r="H29" s="173"/>
      <c r="I29" s="146"/>
    </row>
    <row r="30" spans="2:9" ht="15.5">
      <c r="B30" s="158"/>
      <c r="C30" s="158"/>
      <c r="D30" s="158"/>
      <c r="E30" s="143"/>
      <c r="F30" s="159" t="s">
        <v>260</v>
      </c>
      <c r="G30" s="163"/>
      <c r="H30" s="163"/>
      <c r="I30" s="160"/>
    </row>
    <row r="31" spans="2:9" ht="15.5">
      <c r="B31" s="144"/>
      <c r="C31" s="283" t="s">
        <v>261</v>
      </c>
      <c r="D31" s="284"/>
      <c r="E31" s="143"/>
      <c r="F31" s="143"/>
      <c r="G31" s="143"/>
      <c r="H31" s="143"/>
      <c r="I31" s="143"/>
    </row>
    <row r="32" spans="2:9" ht="39.75" customHeight="1">
      <c r="B32" s="161"/>
      <c r="C32" s="285" t="s">
        <v>262</v>
      </c>
      <c r="D32" s="276"/>
      <c r="E32" s="143"/>
      <c r="F32" s="300" t="s">
        <v>284</v>
      </c>
      <c r="G32" s="301"/>
      <c r="H32" s="301"/>
      <c r="I32" s="302"/>
    </row>
    <row r="33" spans="2:9" ht="15.5">
      <c r="B33" s="158"/>
      <c r="C33" s="158"/>
      <c r="D33" s="158"/>
      <c r="E33" s="143"/>
      <c r="F33" s="303" t="s">
        <v>285</v>
      </c>
      <c r="G33" s="304"/>
      <c r="H33" s="304"/>
      <c r="I33" s="305"/>
    </row>
    <row r="34" spans="2:9" ht="15.5">
      <c r="B34" s="286" t="s">
        <v>263</v>
      </c>
      <c r="C34" s="287"/>
      <c r="D34" s="288"/>
      <c r="E34" s="143"/>
      <c r="F34" s="306"/>
      <c r="G34" s="261"/>
      <c r="H34" s="261"/>
      <c r="I34" s="307"/>
    </row>
    <row r="35" spans="2:9" ht="46.5">
      <c r="B35" s="144" t="s">
        <v>264</v>
      </c>
      <c r="C35" s="145" t="s">
        <v>244</v>
      </c>
      <c r="D35" s="162" t="s">
        <v>265</v>
      </c>
      <c r="E35" s="143"/>
      <c r="F35" s="306"/>
      <c r="G35" s="261"/>
      <c r="H35" s="261"/>
      <c r="I35" s="307"/>
    </row>
    <row r="36" spans="2:9" ht="46.5">
      <c r="B36" s="144" t="s">
        <v>266</v>
      </c>
      <c r="C36" s="145" t="s">
        <v>248</v>
      </c>
      <c r="D36" s="162" t="s">
        <v>267</v>
      </c>
      <c r="E36" s="143"/>
      <c r="F36" s="308"/>
      <c r="G36" s="287"/>
      <c r="H36" s="287"/>
      <c r="I36" s="288"/>
    </row>
    <row r="37" spans="2:9" ht="62">
      <c r="B37" s="144" t="s">
        <v>268</v>
      </c>
      <c r="C37" s="145" t="s">
        <v>252</v>
      </c>
      <c r="D37" s="162" t="s">
        <v>269</v>
      </c>
      <c r="E37" s="143"/>
    </row>
    <row r="38" spans="2:9" ht="46.5">
      <c r="B38" s="144" t="s">
        <v>270</v>
      </c>
      <c r="C38" s="145" t="s">
        <v>256</v>
      </c>
      <c r="D38" s="162" t="s">
        <v>271</v>
      </c>
      <c r="E38" s="143"/>
      <c r="F38" s="143"/>
      <c r="G38" s="143"/>
      <c r="H38" s="143"/>
      <c r="I38" s="143"/>
    </row>
    <row r="39" spans="2:9" ht="15.5">
      <c r="B39" s="161"/>
      <c r="C39" s="163"/>
      <c r="D39" s="160"/>
      <c r="E39" s="143"/>
      <c r="F39" s="143"/>
      <c r="G39" s="143"/>
      <c r="H39" s="143"/>
      <c r="I39" s="143"/>
    </row>
    <row r="40" spans="2:9" ht="15.5">
      <c r="B40" s="158"/>
      <c r="C40" s="158"/>
      <c r="D40" s="158"/>
      <c r="E40" s="143"/>
      <c r="F40" s="143"/>
      <c r="G40" s="143"/>
      <c r="H40" s="143"/>
      <c r="I40" s="143"/>
    </row>
    <row r="41" spans="2:9" ht="15.5">
      <c r="B41" s="144"/>
      <c r="C41" s="283" t="s">
        <v>272</v>
      </c>
      <c r="D41" s="284"/>
      <c r="E41" s="143"/>
      <c r="F41" s="143"/>
      <c r="G41" s="143"/>
      <c r="H41" s="143"/>
      <c r="I41" s="143"/>
    </row>
    <row r="42" spans="2:9" ht="33" customHeight="1">
      <c r="B42" s="161"/>
      <c r="C42" s="285" t="s">
        <v>273</v>
      </c>
      <c r="D42" s="276"/>
      <c r="E42" s="143"/>
      <c r="F42" s="143"/>
      <c r="G42" s="143"/>
      <c r="H42" s="143"/>
      <c r="I42" s="143"/>
    </row>
    <row r="43" spans="2:9" ht="15.5">
      <c r="B43" s="158"/>
      <c r="C43" s="158"/>
      <c r="D43" s="158"/>
      <c r="E43" s="143"/>
      <c r="F43" s="143"/>
      <c r="G43" s="143"/>
      <c r="H43" s="143"/>
      <c r="I43" s="143"/>
    </row>
    <row r="44" spans="2:9" ht="15.5">
      <c r="B44" s="144"/>
      <c r="C44" s="283" t="s">
        <v>286</v>
      </c>
      <c r="D44" s="284"/>
      <c r="E44" s="143"/>
      <c r="F44" s="143"/>
      <c r="G44" s="143"/>
      <c r="H44" s="143"/>
      <c r="I44" s="143"/>
    </row>
    <row r="45" spans="2:9" ht="45" customHeight="1">
      <c r="B45" s="161"/>
      <c r="C45" s="285" t="s">
        <v>287</v>
      </c>
      <c r="D45" s="276"/>
      <c r="E45" s="143"/>
      <c r="F45" s="143"/>
      <c r="G45" s="143"/>
      <c r="H45" s="143"/>
      <c r="I45" s="143"/>
    </row>
  </sheetData>
  <mergeCells count="18">
    <mergeCell ref="C45:D45"/>
    <mergeCell ref="F23:I23"/>
    <mergeCell ref="F25:I25"/>
    <mergeCell ref="C31:D31"/>
    <mergeCell ref="C32:D32"/>
    <mergeCell ref="F32:I32"/>
    <mergeCell ref="F33:I36"/>
    <mergeCell ref="B34:D34"/>
    <mergeCell ref="F20:I20"/>
    <mergeCell ref="F22:I22"/>
    <mergeCell ref="C41:D41"/>
    <mergeCell ref="C42:D42"/>
    <mergeCell ref="C44:D44"/>
    <mergeCell ref="B2:I2"/>
    <mergeCell ref="E4:F4"/>
    <mergeCell ref="G4:H4"/>
    <mergeCell ref="B18:D18"/>
    <mergeCell ref="F19:I19"/>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B2:I45"/>
  <sheetViews>
    <sheetView workbookViewId="0">
      <selection activeCell="D16" sqref="D16"/>
    </sheetView>
  </sheetViews>
  <sheetFormatPr baseColWidth="10" defaultColWidth="12.6328125" defaultRowHeight="15.75" customHeight="1"/>
  <cols>
    <col min="1" max="1" width="5.90625" customWidth="1"/>
    <col min="2" max="2" width="17" customWidth="1"/>
    <col min="3" max="3" width="30.26953125" customWidth="1"/>
    <col min="4" max="4" width="32.90625" customWidth="1"/>
    <col min="9" max="9" width="41.08984375" customWidth="1"/>
  </cols>
  <sheetData>
    <row r="2" spans="2:9" ht="15.5">
      <c r="B2" s="281" t="s">
        <v>288</v>
      </c>
      <c r="C2" s="261"/>
      <c r="D2" s="261"/>
      <c r="E2" s="261"/>
      <c r="F2" s="261"/>
      <c r="G2" s="261"/>
      <c r="H2" s="261"/>
      <c r="I2" s="261"/>
    </row>
    <row r="3" spans="2:9" ht="12.5">
      <c r="B3" s="108"/>
      <c r="C3" s="109"/>
      <c r="D3" s="110"/>
      <c r="E3" s="110"/>
      <c r="F3" s="110"/>
      <c r="G3" s="110"/>
      <c r="H3" s="110"/>
      <c r="I3" s="107"/>
    </row>
    <row r="4" spans="2:9" ht="12.5">
      <c r="B4" s="111"/>
      <c r="C4" s="112" t="s">
        <v>211</v>
      </c>
      <c r="D4" s="113" t="s">
        <v>212</v>
      </c>
      <c r="E4" s="292" t="s">
        <v>213</v>
      </c>
      <c r="F4" s="297"/>
      <c r="G4" s="292" t="s">
        <v>277</v>
      </c>
      <c r="H4" s="291"/>
      <c r="I4" s="107"/>
    </row>
    <row r="5" spans="2:9" ht="12.5">
      <c r="B5" s="115" t="s">
        <v>214</v>
      </c>
      <c r="C5" s="116">
        <f>'2 INGRESOS'!C26</f>
        <v>44379</v>
      </c>
      <c r="D5" s="117"/>
      <c r="E5" s="117"/>
      <c r="F5" s="122">
        <f>C5</f>
        <v>44379</v>
      </c>
      <c r="G5" s="117"/>
      <c r="H5" s="118">
        <f>96000/4</f>
        <v>24000</v>
      </c>
      <c r="I5" s="107"/>
    </row>
    <row r="6" spans="2:9" ht="12.5">
      <c r="B6" s="115" t="s">
        <v>216</v>
      </c>
      <c r="C6" s="116">
        <v>0</v>
      </c>
      <c r="D6" s="120">
        <f>(C6*1)/C5</f>
        <v>0</v>
      </c>
      <c r="E6" s="121">
        <v>0</v>
      </c>
      <c r="F6" s="122">
        <f>(F5*E6)/1</f>
        <v>0</v>
      </c>
      <c r="G6" s="121">
        <v>0</v>
      </c>
      <c r="H6" s="122">
        <f>(H5*G6)/1</f>
        <v>0</v>
      </c>
      <c r="I6" s="164"/>
    </row>
    <row r="7" spans="2:9" ht="12.5">
      <c r="B7" s="115" t="s">
        <v>218</v>
      </c>
      <c r="C7" s="123">
        <f>C5-C6</f>
        <v>44379</v>
      </c>
      <c r="D7" s="117"/>
      <c r="E7" s="117"/>
      <c r="F7" s="123">
        <f>F5-F6</f>
        <v>44379</v>
      </c>
      <c r="G7" s="117"/>
      <c r="H7" s="122">
        <f>H5-H6</f>
        <v>24000</v>
      </c>
      <c r="I7" s="164"/>
    </row>
    <row r="8" spans="2:9" ht="25">
      <c r="B8" s="115" t="s">
        <v>278</v>
      </c>
      <c r="C8" s="124">
        <v>0</v>
      </c>
      <c r="D8" s="120">
        <f>(C8*1)/C7</f>
        <v>0</v>
      </c>
      <c r="E8" s="125">
        <v>0.08</v>
      </c>
      <c r="F8" s="122">
        <f>(F7*E8)/1</f>
        <v>3550.32</v>
      </c>
      <c r="G8" s="174">
        <v>0.01</v>
      </c>
      <c r="H8" s="122">
        <f>(H7*G8)/1</f>
        <v>240</v>
      </c>
      <c r="I8" s="164"/>
    </row>
    <row r="9" spans="2:9" ht="25">
      <c r="B9" s="115" t="s">
        <v>221</v>
      </c>
      <c r="C9" s="116">
        <f>'3 COMPENSACIÓN'!C20</f>
        <v>12000</v>
      </c>
      <c r="D9" s="120">
        <f>(C9*1)/C7</f>
        <v>0.27039816129250321</v>
      </c>
      <c r="E9" s="125">
        <v>0.35</v>
      </c>
      <c r="F9" s="122">
        <f>(F7*E9)/1</f>
        <v>15532.65</v>
      </c>
      <c r="G9" s="166">
        <v>0.185</v>
      </c>
      <c r="H9" s="122">
        <f>(H7*G9)/1</f>
        <v>4440</v>
      </c>
      <c r="I9" s="164"/>
    </row>
    <row r="10" spans="2:9" ht="39">
      <c r="B10" s="115" t="s">
        <v>223</v>
      </c>
      <c r="C10" s="116">
        <f>'1 GASTOS'!C36</f>
        <v>4005.08</v>
      </c>
      <c r="D10" s="120">
        <f>(C10*1)/C7</f>
        <v>9.024718898578156E-2</v>
      </c>
      <c r="E10" s="125">
        <v>0.17</v>
      </c>
      <c r="F10" s="122">
        <f>(F7*E10)/1</f>
        <v>7544.43</v>
      </c>
      <c r="G10" s="166">
        <v>0.17</v>
      </c>
      <c r="H10" s="122">
        <f>(H7*G10)/1</f>
        <v>4080.0000000000005</v>
      </c>
      <c r="I10" s="167" t="s">
        <v>279</v>
      </c>
    </row>
    <row r="11" spans="2:9" ht="13">
      <c r="B11" s="126" t="s">
        <v>225</v>
      </c>
      <c r="C11" s="127">
        <f>'1 GASTOS'!C25+'1 GASTOS'!C33</f>
        <v>29844.5</v>
      </c>
      <c r="D11" s="128">
        <f>(C11*1)/C7</f>
        <v>0.67249149372450934</v>
      </c>
      <c r="E11" s="129">
        <v>0.4</v>
      </c>
      <c r="F11" s="130">
        <f>(F7*E11)/1</f>
        <v>17751.600000000002</v>
      </c>
      <c r="G11" s="168">
        <f>H11/H7</f>
        <v>0.63500000000000001</v>
      </c>
      <c r="H11" s="130">
        <f>H7-H8-H9-H10</f>
        <v>15240</v>
      </c>
      <c r="I11" s="169">
        <f>((H7*D11)-H11)/3</f>
        <v>299.93194979607443</v>
      </c>
    </row>
    <row r="12" spans="2:9" ht="12.5">
      <c r="B12" s="107"/>
      <c r="C12" s="132"/>
      <c r="D12" s="133"/>
      <c r="E12" s="133"/>
      <c r="F12" s="133"/>
      <c r="G12" s="133"/>
      <c r="H12" s="132"/>
      <c r="I12" s="164"/>
    </row>
    <row r="13" spans="2:9" ht="12.5">
      <c r="B13" s="134"/>
      <c r="C13" s="135">
        <f t="shared" ref="C13:H13" si="0">SUM(C8:C11)</f>
        <v>45849.58</v>
      </c>
      <c r="D13" s="136">
        <f t="shared" si="0"/>
        <v>1.0331368440027942</v>
      </c>
      <c r="E13" s="137">
        <f t="shared" si="0"/>
        <v>1</v>
      </c>
      <c r="F13" s="135">
        <f t="shared" si="0"/>
        <v>44379</v>
      </c>
      <c r="G13" s="137">
        <f t="shared" si="0"/>
        <v>1</v>
      </c>
      <c r="H13" s="135">
        <f t="shared" si="0"/>
        <v>24000</v>
      </c>
      <c r="I13" s="107"/>
    </row>
    <row r="14" spans="2:9" ht="12.5">
      <c r="B14" s="114"/>
      <c r="C14" s="132"/>
      <c r="D14" s="132"/>
      <c r="E14" s="133"/>
      <c r="F14" s="133"/>
      <c r="G14" s="133"/>
      <c r="H14" s="132"/>
      <c r="I14" s="107"/>
    </row>
    <row r="15" spans="2:9" ht="25">
      <c r="B15" s="138" t="s">
        <v>227</v>
      </c>
      <c r="C15" s="139" t="s">
        <v>228</v>
      </c>
      <c r="D15" s="140">
        <v>1</v>
      </c>
      <c r="E15" s="140">
        <v>1</v>
      </c>
      <c r="F15" s="141" t="s">
        <v>229</v>
      </c>
      <c r="G15" s="140">
        <v>1</v>
      </c>
      <c r="H15" s="170" t="s">
        <v>280</v>
      </c>
      <c r="I15" s="107"/>
    </row>
    <row r="18" spans="2:9" ht="15.5">
      <c r="B18" s="293" t="s">
        <v>230</v>
      </c>
      <c r="C18" s="294"/>
      <c r="D18" s="295"/>
      <c r="E18" s="143"/>
      <c r="F18" s="158"/>
      <c r="G18" s="158"/>
      <c r="H18" s="158"/>
      <c r="I18" s="158"/>
    </row>
    <row r="19" spans="2:9" ht="15.5">
      <c r="B19" s="144"/>
      <c r="C19" s="145"/>
      <c r="D19" s="146"/>
      <c r="E19" s="171"/>
      <c r="F19" s="283" t="s">
        <v>281</v>
      </c>
      <c r="G19" s="287"/>
      <c r="H19" s="287"/>
      <c r="I19" s="284"/>
    </row>
    <row r="20" spans="2:9" ht="15.5">
      <c r="B20" s="147" t="s">
        <v>233</v>
      </c>
      <c r="C20" s="145"/>
      <c r="D20" s="146"/>
      <c r="E20" s="171"/>
      <c r="F20" s="298" t="s">
        <v>282</v>
      </c>
      <c r="G20" s="299"/>
      <c r="H20" s="299"/>
      <c r="I20" s="276"/>
    </row>
    <row r="21" spans="2:9" ht="15.5">
      <c r="B21" s="144"/>
      <c r="C21" s="145"/>
      <c r="D21" s="146"/>
      <c r="E21" s="143"/>
      <c r="F21" s="143"/>
      <c r="G21" s="143"/>
      <c r="H21" s="143"/>
      <c r="I21" s="143"/>
    </row>
    <row r="22" spans="2:9" ht="31">
      <c r="B22" s="148" t="s">
        <v>234</v>
      </c>
      <c r="C22" s="149" t="s">
        <v>235</v>
      </c>
      <c r="D22" s="150" t="s">
        <v>236</v>
      </c>
      <c r="E22" s="143"/>
      <c r="F22" s="296" t="s">
        <v>231</v>
      </c>
      <c r="G22" s="297"/>
      <c r="H22" s="297"/>
      <c r="I22" s="291"/>
    </row>
    <row r="23" spans="2:9" ht="77.5">
      <c r="B23" s="148" t="s">
        <v>237</v>
      </c>
      <c r="C23" s="151" t="s">
        <v>238</v>
      </c>
      <c r="D23" s="150" t="s">
        <v>239</v>
      </c>
      <c r="E23" s="171"/>
      <c r="F23" s="296" t="s">
        <v>283</v>
      </c>
      <c r="G23" s="297"/>
      <c r="H23" s="297"/>
      <c r="I23" s="291"/>
    </row>
    <row r="24" spans="2:9" ht="15.5">
      <c r="B24" s="148" t="s">
        <v>240</v>
      </c>
      <c r="C24" s="149" t="s">
        <v>241</v>
      </c>
      <c r="D24" s="150" t="s">
        <v>242</v>
      </c>
      <c r="E24" s="143"/>
    </row>
    <row r="25" spans="2:9" ht="93">
      <c r="B25" s="148" t="s">
        <v>243</v>
      </c>
      <c r="C25" s="149" t="s">
        <v>244</v>
      </c>
      <c r="D25" s="150" t="s">
        <v>245</v>
      </c>
      <c r="E25" s="143"/>
      <c r="F25" s="290" t="s">
        <v>246</v>
      </c>
      <c r="G25" s="297"/>
      <c r="H25" s="297"/>
      <c r="I25" s="291"/>
    </row>
    <row r="26" spans="2:9" ht="31">
      <c r="B26" s="148" t="s">
        <v>247</v>
      </c>
      <c r="C26" s="149" t="s">
        <v>248</v>
      </c>
      <c r="D26" s="150" t="s">
        <v>249</v>
      </c>
      <c r="E26" s="143"/>
      <c r="F26" s="152" t="s">
        <v>250</v>
      </c>
      <c r="G26" s="172"/>
      <c r="H26" s="172"/>
      <c r="I26" s="153"/>
    </row>
    <row r="27" spans="2:9" ht="15.5">
      <c r="B27" s="148" t="s">
        <v>251</v>
      </c>
      <c r="C27" s="149" t="s">
        <v>252</v>
      </c>
      <c r="D27" s="150" t="s">
        <v>253</v>
      </c>
      <c r="E27" s="143"/>
      <c r="F27" s="147" t="s">
        <v>254</v>
      </c>
      <c r="G27" s="173"/>
      <c r="H27" s="145"/>
      <c r="I27" s="146"/>
    </row>
    <row r="28" spans="2:9" ht="15.5">
      <c r="B28" s="148" t="s">
        <v>255</v>
      </c>
      <c r="C28" s="149" t="s">
        <v>256</v>
      </c>
      <c r="D28" s="150" t="s">
        <v>257</v>
      </c>
      <c r="E28" s="143"/>
      <c r="F28" s="154" t="s">
        <v>258</v>
      </c>
      <c r="G28" s="173"/>
      <c r="H28" s="173"/>
      <c r="I28" s="146"/>
    </row>
    <row r="29" spans="2:9" ht="15.5">
      <c r="B29" s="155"/>
      <c r="C29" s="156"/>
      <c r="D29" s="157"/>
      <c r="E29" s="143"/>
      <c r="F29" s="147" t="s">
        <v>259</v>
      </c>
      <c r="G29" s="173"/>
      <c r="H29" s="173"/>
      <c r="I29" s="146"/>
    </row>
    <row r="30" spans="2:9" ht="15.5">
      <c r="B30" s="158"/>
      <c r="C30" s="158"/>
      <c r="D30" s="158"/>
      <c r="E30" s="143"/>
      <c r="F30" s="159" t="s">
        <v>260</v>
      </c>
      <c r="G30" s="163"/>
      <c r="H30" s="163"/>
      <c r="I30" s="160"/>
    </row>
    <row r="31" spans="2:9" ht="15.5">
      <c r="B31" s="144"/>
      <c r="C31" s="283" t="s">
        <v>261</v>
      </c>
      <c r="D31" s="284"/>
      <c r="E31" s="143"/>
      <c r="F31" s="143"/>
      <c r="G31" s="143"/>
      <c r="H31" s="143"/>
      <c r="I31" s="143"/>
    </row>
    <row r="32" spans="2:9" ht="39.75" customHeight="1">
      <c r="B32" s="161"/>
      <c r="C32" s="285" t="s">
        <v>289</v>
      </c>
      <c r="D32" s="276"/>
      <c r="E32" s="143"/>
      <c r="F32" s="300" t="s">
        <v>284</v>
      </c>
      <c r="G32" s="301"/>
      <c r="H32" s="301"/>
      <c r="I32" s="302"/>
    </row>
    <row r="33" spans="2:9" ht="15.5">
      <c r="B33" s="158"/>
      <c r="C33" s="158"/>
      <c r="D33" s="158"/>
      <c r="E33" s="143"/>
      <c r="F33" s="303" t="s">
        <v>285</v>
      </c>
      <c r="G33" s="304"/>
      <c r="H33" s="304"/>
      <c r="I33" s="305"/>
    </row>
    <row r="34" spans="2:9" ht="15.5">
      <c r="B34" s="286" t="s">
        <v>263</v>
      </c>
      <c r="C34" s="287"/>
      <c r="D34" s="288"/>
      <c r="E34" s="143"/>
      <c r="F34" s="306"/>
      <c r="G34" s="261"/>
      <c r="H34" s="261"/>
      <c r="I34" s="307"/>
    </row>
    <row r="35" spans="2:9" ht="46.5">
      <c r="B35" s="144" t="s">
        <v>264</v>
      </c>
      <c r="C35" s="145" t="s">
        <v>244</v>
      </c>
      <c r="D35" s="162" t="s">
        <v>265</v>
      </c>
      <c r="E35" s="143"/>
      <c r="F35" s="306"/>
      <c r="G35" s="261"/>
      <c r="H35" s="261"/>
      <c r="I35" s="307"/>
    </row>
    <row r="36" spans="2:9" ht="46.5">
      <c r="B36" s="144" t="s">
        <v>266</v>
      </c>
      <c r="C36" s="145" t="s">
        <v>248</v>
      </c>
      <c r="D36" s="162" t="s">
        <v>267</v>
      </c>
      <c r="E36" s="143"/>
      <c r="F36" s="308"/>
      <c r="G36" s="287"/>
      <c r="H36" s="287"/>
      <c r="I36" s="288"/>
    </row>
    <row r="37" spans="2:9" ht="62">
      <c r="B37" s="144" t="s">
        <v>268</v>
      </c>
      <c r="C37" s="145" t="s">
        <v>252</v>
      </c>
      <c r="D37" s="162" t="s">
        <v>269</v>
      </c>
      <c r="E37" s="143"/>
    </row>
    <row r="38" spans="2:9" ht="46.5">
      <c r="B38" s="144" t="s">
        <v>270</v>
      </c>
      <c r="C38" s="145" t="s">
        <v>256</v>
      </c>
      <c r="D38" s="162" t="s">
        <v>271</v>
      </c>
      <c r="E38" s="143"/>
      <c r="F38" s="143"/>
      <c r="G38" s="143"/>
      <c r="H38" s="143"/>
      <c r="I38" s="143"/>
    </row>
    <row r="39" spans="2:9" ht="15.5">
      <c r="B39" s="161"/>
      <c r="C39" s="163"/>
      <c r="D39" s="160"/>
      <c r="E39" s="143"/>
      <c r="F39" s="143"/>
      <c r="G39" s="143"/>
      <c r="H39" s="143"/>
      <c r="I39" s="143"/>
    </row>
    <row r="40" spans="2:9" ht="15.5">
      <c r="B40" s="158"/>
      <c r="C40" s="158"/>
      <c r="D40" s="158"/>
      <c r="E40" s="143"/>
      <c r="F40" s="143"/>
      <c r="G40" s="143"/>
      <c r="H40" s="143"/>
      <c r="I40" s="143"/>
    </row>
    <row r="41" spans="2:9" ht="15.5">
      <c r="B41" s="144"/>
      <c r="C41" s="283" t="s">
        <v>272</v>
      </c>
      <c r="D41" s="284"/>
      <c r="E41" s="143"/>
      <c r="F41" s="143"/>
      <c r="G41" s="143"/>
      <c r="H41" s="143"/>
      <c r="I41" s="143"/>
    </row>
    <row r="42" spans="2:9" ht="33" customHeight="1">
      <c r="B42" s="161"/>
      <c r="C42" s="285" t="s">
        <v>273</v>
      </c>
      <c r="D42" s="276"/>
      <c r="E42" s="143"/>
      <c r="F42" s="143"/>
      <c r="G42" s="143"/>
      <c r="H42" s="143"/>
      <c r="I42" s="143"/>
    </row>
    <row r="43" spans="2:9" ht="15.5">
      <c r="B43" s="158"/>
      <c r="C43" s="158"/>
      <c r="D43" s="158"/>
      <c r="E43" s="143"/>
      <c r="F43" s="143"/>
      <c r="G43" s="143"/>
      <c r="H43" s="143"/>
      <c r="I43" s="143"/>
    </row>
    <row r="44" spans="2:9" ht="15.5">
      <c r="B44" s="144"/>
      <c r="C44" s="283" t="s">
        <v>286</v>
      </c>
      <c r="D44" s="284"/>
      <c r="E44" s="143"/>
      <c r="F44" s="143"/>
      <c r="G44" s="143"/>
      <c r="H44" s="143"/>
      <c r="I44" s="143"/>
    </row>
    <row r="45" spans="2:9" ht="45" customHeight="1">
      <c r="B45" s="161"/>
      <c r="C45" s="285" t="s">
        <v>287</v>
      </c>
      <c r="D45" s="276"/>
      <c r="E45" s="143"/>
      <c r="F45" s="143"/>
      <c r="G45" s="143"/>
      <c r="H45" s="143"/>
      <c r="I45" s="143"/>
    </row>
  </sheetData>
  <mergeCells count="18">
    <mergeCell ref="C45:D45"/>
    <mergeCell ref="F23:I23"/>
    <mergeCell ref="F25:I25"/>
    <mergeCell ref="C31:D31"/>
    <mergeCell ref="C32:D32"/>
    <mergeCell ref="F32:I32"/>
    <mergeCell ref="F33:I36"/>
    <mergeCell ref="B34:D34"/>
    <mergeCell ref="F20:I20"/>
    <mergeCell ref="F22:I22"/>
    <mergeCell ref="C41:D41"/>
    <mergeCell ref="C42:D42"/>
    <mergeCell ref="C44:D44"/>
    <mergeCell ref="B2:I2"/>
    <mergeCell ref="E4:F4"/>
    <mergeCell ref="G4:H4"/>
    <mergeCell ref="B18:D18"/>
    <mergeCell ref="F19:I19"/>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
  <sheetViews>
    <sheetView topLeftCell="A28" workbookViewId="0"/>
  </sheetViews>
  <sheetFormatPr baseColWidth="10" defaultColWidth="12.6328125" defaultRowHeight="15.75" customHeight="1"/>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B24:G24"/>
  <sheetViews>
    <sheetView topLeftCell="A7" workbookViewId="0">
      <selection activeCell="G27" sqref="G27"/>
    </sheetView>
  </sheetViews>
  <sheetFormatPr baseColWidth="10" defaultColWidth="12.6328125" defaultRowHeight="15.75" customHeight="1"/>
  <cols>
    <col min="8" max="8" width="17.36328125" customWidth="1"/>
  </cols>
  <sheetData>
    <row r="24" spans="2:7" ht="51.75" customHeight="1">
      <c r="B24" s="175" t="s">
        <v>290</v>
      </c>
      <c r="C24" s="176"/>
      <c r="D24" s="176"/>
      <c r="E24" s="176"/>
      <c r="F24" s="176"/>
      <c r="G24" s="177" t="s">
        <v>291</v>
      </c>
    </row>
  </sheetData>
  <hyperlinks>
    <hyperlink ref="G24" r:id="rId1" xr:uid="{00000000-0004-0000-0F00-000000000000}"/>
  </hyperlinks>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2:J31"/>
  <sheetViews>
    <sheetView topLeftCell="A13" workbookViewId="0">
      <selection activeCell="D27" sqref="D27"/>
    </sheetView>
  </sheetViews>
  <sheetFormatPr baseColWidth="10" defaultColWidth="12.6328125" defaultRowHeight="15.75" customHeight="1"/>
  <cols>
    <col min="1" max="1" width="64.36328125" customWidth="1"/>
    <col min="2" max="2" width="18.7265625" customWidth="1"/>
    <col min="3" max="3" width="22.36328125" customWidth="1"/>
    <col min="4" max="4" width="17" customWidth="1"/>
    <col min="5" max="5" width="46.90625" customWidth="1"/>
    <col min="6" max="6" width="21.08984375" customWidth="1"/>
    <col min="7" max="7" width="18.6328125" customWidth="1"/>
    <col min="8" max="8" width="17.08984375" customWidth="1"/>
    <col min="9" max="9" width="19.6328125" customWidth="1"/>
    <col min="10" max="10" width="14.7265625" customWidth="1"/>
  </cols>
  <sheetData>
    <row r="2" spans="1:10" ht="15.75" customHeight="1">
      <c r="A2" s="279" t="s">
        <v>292</v>
      </c>
      <c r="B2" s="261"/>
      <c r="C2" s="261"/>
    </row>
    <row r="4" spans="1:10" ht="13">
      <c r="A4" s="178" t="s">
        <v>293</v>
      </c>
      <c r="B4" s="179">
        <v>0.05</v>
      </c>
    </row>
    <row r="5" spans="1:10" ht="13">
      <c r="A5" s="180"/>
      <c r="B5" s="181"/>
      <c r="C5" s="181"/>
      <c r="D5" s="181"/>
      <c r="E5" s="181"/>
      <c r="F5" s="88"/>
    </row>
    <row r="6" spans="1:10" ht="13">
      <c r="A6" s="75" t="s">
        <v>145</v>
      </c>
      <c r="B6" s="76" t="s">
        <v>146</v>
      </c>
      <c r="C6" s="76" t="s">
        <v>147</v>
      </c>
      <c r="D6" s="76" t="s">
        <v>148</v>
      </c>
      <c r="E6" s="76" t="s">
        <v>294</v>
      </c>
      <c r="F6" s="76" t="s">
        <v>295</v>
      </c>
      <c r="G6" s="76" t="s">
        <v>296</v>
      </c>
      <c r="H6" s="76" t="s">
        <v>297</v>
      </c>
      <c r="I6" s="76" t="s">
        <v>298</v>
      </c>
      <c r="J6" s="76" t="s">
        <v>299</v>
      </c>
    </row>
    <row r="7" spans="1:10" ht="15.75" customHeight="1">
      <c r="A7" s="77" t="s">
        <v>149</v>
      </c>
      <c r="B7" s="78">
        <v>0</v>
      </c>
      <c r="C7" s="78">
        <f t="shared" ref="C7:C30" si="0">+B7*12</f>
        <v>0</v>
      </c>
      <c r="D7" s="102">
        <f t="shared" ref="D7:D31" si="1">C7/$C$31</f>
        <v>0</v>
      </c>
      <c r="E7" s="88"/>
      <c r="F7" s="182">
        <f t="shared" ref="F7:F30" si="2">$B$4</f>
        <v>0.05</v>
      </c>
      <c r="G7" s="78">
        <f t="shared" ref="G7:G30" si="3">B7*(1-F7)</f>
        <v>0</v>
      </c>
      <c r="H7" s="78">
        <f t="shared" ref="H7:H30" si="4">B7-G7</f>
        <v>0</v>
      </c>
      <c r="I7" s="78">
        <f t="shared" ref="I7:I30" si="5">H7*3</f>
        <v>0</v>
      </c>
      <c r="J7" s="78">
        <f t="shared" ref="J7:J30" si="6">H7*12</f>
        <v>0</v>
      </c>
    </row>
    <row r="8" spans="1:10" ht="15.75" customHeight="1">
      <c r="A8" s="77" t="s">
        <v>150</v>
      </c>
      <c r="B8" s="78">
        <v>0</v>
      </c>
      <c r="C8" s="78">
        <f t="shared" si="0"/>
        <v>0</v>
      </c>
      <c r="D8" s="102">
        <f t="shared" si="1"/>
        <v>0</v>
      </c>
      <c r="E8" s="88"/>
      <c r="F8" s="182">
        <f t="shared" si="2"/>
        <v>0.05</v>
      </c>
      <c r="G8" s="78">
        <f t="shared" si="3"/>
        <v>0</v>
      </c>
      <c r="H8" s="78">
        <f t="shared" si="4"/>
        <v>0</v>
      </c>
      <c r="I8" s="78">
        <f t="shared" si="5"/>
        <v>0</v>
      </c>
      <c r="J8" s="78">
        <f t="shared" si="6"/>
        <v>0</v>
      </c>
    </row>
    <row r="9" spans="1:10" ht="15.75" customHeight="1">
      <c r="A9" s="77" t="s">
        <v>151</v>
      </c>
      <c r="B9" s="78">
        <v>0</v>
      </c>
      <c r="C9" s="78">
        <f t="shared" si="0"/>
        <v>0</v>
      </c>
      <c r="D9" s="102">
        <f t="shared" si="1"/>
        <v>0</v>
      </c>
      <c r="E9" s="88"/>
      <c r="F9" s="182">
        <f t="shared" si="2"/>
        <v>0.05</v>
      </c>
      <c r="G9" s="78">
        <f t="shared" si="3"/>
        <v>0</v>
      </c>
      <c r="H9" s="78">
        <f t="shared" si="4"/>
        <v>0</v>
      </c>
      <c r="I9" s="78">
        <f t="shared" si="5"/>
        <v>0</v>
      </c>
      <c r="J9" s="78">
        <f t="shared" si="6"/>
        <v>0</v>
      </c>
    </row>
    <row r="10" spans="1:10" ht="15.75" customHeight="1">
      <c r="A10" s="77" t="s">
        <v>152</v>
      </c>
      <c r="B10" s="78">
        <v>0</v>
      </c>
      <c r="C10" s="78">
        <f t="shared" si="0"/>
        <v>0</v>
      </c>
      <c r="D10" s="102">
        <f t="shared" si="1"/>
        <v>0</v>
      </c>
      <c r="E10" s="88"/>
      <c r="F10" s="182">
        <f t="shared" si="2"/>
        <v>0.05</v>
      </c>
      <c r="G10" s="78">
        <f t="shared" si="3"/>
        <v>0</v>
      </c>
      <c r="H10" s="78">
        <f t="shared" si="4"/>
        <v>0</v>
      </c>
      <c r="I10" s="78">
        <f t="shared" si="5"/>
        <v>0</v>
      </c>
      <c r="J10" s="78">
        <f t="shared" si="6"/>
        <v>0</v>
      </c>
    </row>
    <row r="11" spans="1:10" ht="15.75" customHeight="1">
      <c r="A11" s="77" t="s">
        <v>153</v>
      </c>
      <c r="B11" s="78">
        <v>51.42499999999999</v>
      </c>
      <c r="C11" s="78">
        <f t="shared" si="0"/>
        <v>617.09999999999991</v>
      </c>
      <c r="D11" s="102">
        <f t="shared" si="1"/>
        <v>6.0474920694653093E-2</v>
      </c>
      <c r="E11" s="88"/>
      <c r="F11" s="182">
        <f t="shared" si="2"/>
        <v>0.05</v>
      </c>
      <c r="G11" s="78">
        <f t="shared" si="3"/>
        <v>48.853749999999991</v>
      </c>
      <c r="H11" s="78">
        <f t="shared" si="4"/>
        <v>2.5712499999999991</v>
      </c>
      <c r="I11" s="78">
        <f t="shared" si="5"/>
        <v>7.7137499999999974</v>
      </c>
      <c r="J11" s="78">
        <f t="shared" si="6"/>
        <v>30.85499999999999</v>
      </c>
    </row>
    <row r="12" spans="1:10" ht="15.75" customHeight="1">
      <c r="A12" s="77" t="s">
        <v>154</v>
      </c>
      <c r="B12" s="78">
        <v>5.916666666666667</v>
      </c>
      <c r="C12" s="78">
        <f t="shared" si="0"/>
        <v>71</v>
      </c>
      <c r="D12" s="102">
        <f t="shared" si="1"/>
        <v>6.9578988321509806E-3</v>
      </c>
      <c r="E12" s="88"/>
      <c r="F12" s="182">
        <f t="shared" si="2"/>
        <v>0.05</v>
      </c>
      <c r="G12" s="78">
        <f t="shared" si="3"/>
        <v>5.6208333333333336</v>
      </c>
      <c r="H12" s="78">
        <f t="shared" si="4"/>
        <v>0.29583333333333339</v>
      </c>
      <c r="I12" s="78">
        <f t="shared" si="5"/>
        <v>0.88750000000000018</v>
      </c>
      <c r="J12" s="78">
        <f t="shared" si="6"/>
        <v>3.5500000000000007</v>
      </c>
    </row>
    <row r="13" spans="1:10" ht="15.75" customHeight="1">
      <c r="A13" s="77" t="s">
        <v>155</v>
      </c>
      <c r="B13" s="78">
        <v>89.916666666666671</v>
      </c>
      <c r="C13" s="78">
        <f t="shared" si="0"/>
        <v>1079</v>
      </c>
      <c r="D13" s="239">
        <f t="shared" si="1"/>
        <v>0.10574046253367476</v>
      </c>
      <c r="E13" s="88" t="s">
        <v>379</v>
      </c>
      <c r="F13" s="182">
        <f t="shared" si="2"/>
        <v>0.05</v>
      </c>
      <c r="G13" s="78">
        <f t="shared" si="3"/>
        <v>85.420833333333334</v>
      </c>
      <c r="H13" s="78">
        <f t="shared" si="4"/>
        <v>4.4958333333333371</v>
      </c>
      <c r="I13" s="78">
        <f t="shared" si="5"/>
        <v>13.487500000000011</v>
      </c>
      <c r="J13" s="78">
        <f t="shared" si="6"/>
        <v>53.950000000000045</v>
      </c>
    </row>
    <row r="14" spans="1:10" ht="15.75" customHeight="1">
      <c r="A14" s="77" t="s">
        <v>156</v>
      </c>
      <c r="B14" s="78">
        <v>10.416666666666666</v>
      </c>
      <c r="C14" s="78">
        <f t="shared" si="0"/>
        <v>125</v>
      </c>
      <c r="D14" s="102">
        <f t="shared" si="1"/>
        <v>1.2249821887589754E-2</v>
      </c>
      <c r="E14" s="88"/>
      <c r="F14" s="182">
        <f t="shared" si="2"/>
        <v>0.05</v>
      </c>
      <c r="G14" s="78">
        <f t="shared" si="3"/>
        <v>9.8958333333333321</v>
      </c>
      <c r="H14" s="78">
        <f t="shared" si="4"/>
        <v>0.52083333333333393</v>
      </c>
      <c r="I14" s="78">
        <f t="shared" si="5"/>
        <v>1.5625000000000018</v>
      </c>
      <c r="J14" s="78">
        <f t="shared" si="6"/>
        <v>6.2500000000000071</v>
      </c>
    </row>
    <row r="15" spans="1:10" ht="15.75" customHeight="1">
      <c r="A15" s="77" t="s">
        <v>157</v>
      </c>
      <c r="B15" s="78">
        <v>0</v>
      </c>
      <c r="C15" s="78">
        <f t="shared" si="0"/>
        <v>0</v>
      </c>
      <c r="D15" s="102">
        <f t="shared" si="1"/>
        <v>0</v>
      </c>
      <c r="E15" s="88"/>
      <c r="F15" s="182">
        <f t="shared" si="2"/>
        <v>0.05</v>
      </c>
      <c r="G15" s="78">
        <f t="shared" si="3"/>
        <v>0</v>
      </c>
      <c r="H15" s="78">
        <f t="shared" si="4"/>
        <v>0</v>
      </c>
      <c r="I15" s="78">
        <f t="shared" si="5"/>
        <v>0</v>
      </c>
      <c r="J15" s="78">
        <f t="shared" si="6"/>
        <v>0</v>
      </c>
    </row>
    <row r="16" spans="1:10" ht="15.75" customHeight="1">
      <c r="A16" s="77" t="s">
        <v>158</v>
      </c>
      <c r="B16" s="78">
        <v>66.549999999999983</v>
      </c>
      <c r="C16" s="78">
        <f t="shared" si="0"/>
        <v>798.5999999999998</v>
      </c>
      <c r="D16" s="102">
        <f t="shared" si="1"/>
        <v>7.8261662075433405E-2</v>
      </c>
      <c r="E16" s="88"/>
      <c r="F16" s="182">
        <f t="shared" si="2"/>
        <v>0.05</v>
      </c>
      <c r="G16" s="78">
        <f t="shared" si="3"/>
        <v>63.222499999999982</v>
      </c>
      <c r="H16" s="78">
        <f t="shared" si="4"/>
        <v>3.3275000000000006</v>
      </c>
      <c r="I16" s="78">
        <f t="shared" si="5"/>
        <v>9.9825000000000017</v>
      </c>
      <c r="J16" s="78">
        <f t="shared" si="6"/>
        <v>39.930000000000007</v>
      </c>
    </row>
    <row r="17" spans="1:10" ht="15.75" customHeight="1">
      <c r="A17" s="77" t="s">
        <v>159</v>
      </c>
      <c r="B17" s="78">
        <v>110.71</v>
      </c>
      <c r="C17" s="78">
        <f t="shared" si="0"/>
        <v>1328.52</v>
      </c>
      <c r="D17" s="239">
        <f t="shared" si="1"/>
        <v>0.13019306699280592</v>
      </c>
      <c r="E17" s="88" t="s">
        <v>300</v>
      </c>
      <c r="F17" s="182">
        <v>0</v>
      </c>
      <c r="G17" s="78">
        <f t="shared" si="3"/>
        <v>110.71</v>
      </c>
      <c r="H17" s="78">
        <f t="shared" si="4"/>
        <v>0</v>
      </c>
      <c r="I17" s="78">
        <f t="shared" si="5"/>
        <v>0</v>
      </c>
      <c r="J17" s="78">
        <f t="shared" si="6"/>
        <v>0</v>
      </c>
    </row>
    <row r="18" spans="1:10" ht="15.75" customHeight="1">
      <c r="A18" s="77" t="s">
        <v>349</v>
      </c>
      <c r="B18" s="78">
        <v>51.583333333333336</v>
      </c>
      <c r="C18" s="78">
        <f t="shared" si="0"/>
        <v>619</v>
      </c>
      <c r="D18" s="102">
        <f t="shared" si="1"/>
        <v>6.0661117987344464E-2</v>
      </c>
      <c r="E18" s="88"/>
      <c r="F18" s="182">
        <f t="shared" si="2"/>
        <v>0.05</v>
      </c>
      <c r="G18" s="78">
        <f t="shared" si="3"/>
        <v>49.00416666666667</v>
      </c>
      <c r="H18" s="78">
        <f t="shared" si="4"/>
        <v>2.5791666666666657</v>
      </c>
      <c r="I18" s="78">
        <f t="shared" si="5"/>
        <v>7.7374999999999972</v>
      </c>
      <c r="J18" s="78">
        <f t="shared" si="6"/>
        <v>30.949999999999989</v>
      </c>
    </row>
    <row r="19" spans="1:10" ht="15.75" customHeight="1">
      <c r="A19" s="77" t="s">
        <v>353</v>
      </c>
      <c r="B19" s="78">
        <v>12.326666666666668</v>
      </c>
      <c r="C19" s="78">
        <f t="shared" si="0"/>
        <v>147.92000000000002</v>
      </c>
      <c r="D19" s="102">
        <f t="shared" si="1"/>
        <v>1.4495949228898214E-2</v>
      </c>
      <c r="E19" s="88"/>
      <c r="F19" s="182">
        <f t="shared" si="2"/>
        <v>0.05</v>
      </c>
      <c r="G19" s="78">
        <f t="shared" si="3"/>
        <v>11.710333333333335</v>
      </c>
      <c r="H19" s="78">
        <f t="shared" si="4"/>
        <v>0.6163333333333334</v>
      </c>
      <c r="I19" s="78">
        <f t="shared" si="5"/>
        <v>1.8490000000000002</v>
      </c>
      <c r="J19" s="78">
        <f t="shared" si="6"/>
        <v>7.3960000000000008</v>
      </c>
    </row>
    <row r="20" spans="1:10" ht="12.5">
      <c r="A20" s="77" t="s">
        <v>355</v>
      </c>
      <c r="B20" s="78">
        <v>432.83249999999998</v>
      </c>
      <c r="C20" s="78">
        <f t="shared" si="0"/>
        <v>5193.99</v>
      </c>
      <c r="D20" s="239">
        <f t="shared" si="1"/>
        <v>0.50900361908737846</v>
      </c>
      <c r="E20" s="88" t="s">
        <v>379</v>
      </c>
      <c r="F20" s="182">
        <v>0.5</v>
      </c>
      <c r="G20" s="78">
        <f t="shared" si="3"/>
        <v>216.41624999999999</v>
      </c>
      <c r="H20" s="78">
        <f t="shared" si="4"/>
        <v>216.41624999999999</v>
      </c>
      <c r="I20" s="78">
        <f t="shared" si="5"/>
        <v>649.24874999999997</v>
      </c>
      <c r="J20" s="78">
        <f t="shared" si="6"/>
        <v>2596.9949999999999</v>
      </c>
    </row>
    <row r="21" spans="1:10" ht="12.5">
      <c r="A21" s="77" t="s">
        <v>356</v>
      </c>
      <c r="B21" s="78">
        <v>6.9250000000000007</v>
      </c>
      <c r="C21" s="78">
        <f t="shared" si="0"/>
        <v>83.100000000000009</v>
      </c>
      <c r="D21" s="102">
        <f t="shared" si="1"/>
        <v>8.1436815908696707E-3</v>
      </c>
      <c r="E21" s="88"/>
      <c r="F21" s="182">
        <f t="shared" si="2"/>
        <v>0.05</v>
      </c>
      <c r="G21" s="78">
        <f t="shared" si="3"/>
        <v>6.5787500000000003</v>
      </c>
      <c r="H21" s="78">
        <f t="shared" si="4"/>
        <v>0.34625000000000039</v>
      </c>
      <c r="I21" s="78">
        <f t="shared" si="5"/>
        <v>1.0387500000000012</v>
      </c>
      <c r="J21" s="78">
        <f t="shared" si="6"/>
        <v>4.1550000000000047</v>
      </c>
    </row>
    <row r="22" spans="1:10" ht="12.5">
      <c r="A22" s="77" t="s">
        <v>378</v>
      </c>
      <c r="B22" s="78">
        <v>11.75</v>
      </c>
      <c r="C22" s="78">
        <f t="shared" si="0"/>
        <v>141</v>
      </c>
      <c r="D22" s="102">
        <f t="shared" si="1"/>
        <v>1.3817799089201244E-2</v>
      </c>
      <c r="E22" s="88"/>
      <c r="F22" s="182">
        <f t="shared" si="2"/>
        <v>0.05</v>
      </c>
      <c r="G22" s="78">
        <f t="shared" si="3"/>
        <v>11.1625</v>
      </c>
      <c r="H22" s="78">
        <f t="shared" si="4"/>
        <v>0.58750000000000036</v>
      </c>
      <c r="I22" s="78">
        <f t="shared" si="5"/>
        <v>1.7625000000000011</v>
      </c>
      <c r="J22" s="78">
        <f t="shared" si="6"/>
        <v>7.0500000000000043</v>
      </c>
    </row>
    <row r="23" spans="1:10" ht="12.5">
      <c r="A23" s="77" t="s">
        <v>352</v>
      </c>
      <c r="B23" s="78">
        <v>584.5241666666667</v>
      </c>
      <c r="C23" s="78">
        <f t="shared" si="0"/>
        <v>7014.2900000000009</v>
      </c>
      <c r="D23" s="239">
        <f t="shared" si="1"/>
        <v>0.68739042534321559</v>
      </c>
      <c r="E23" s="88" t="s">
        <v>300</v>
      </c>
      <c r="F23" s="182">
        <f t="shared" si="2"/>
        <v>0.05</v>
      </c>
      <c r="G23" s="78">
        <f t="shared" si="3"/>
        <v>555.29795833333333</v>
      </c>
      <c r="H23" s="78">
        <f t="shared" si="4"/>
        <v>29.226208333333375</v>
      </c>
      <c r="I23" s="78">
        <f t="shared" si="5"/>
        <v>87.678625000000125</v>
      </c>
      <c r="J23" s="78">
        <f t="shared" si="6"/>
        <v>350.7145000000005</v>
      </c>
    </row>
    <row r="24" spans="1:10" ht="12.5">
      <c r="A24" s="77" t="s">
        <v>350</v>
      </c>
      <c r="B24" s="78">
        <v>127.10666666666667</v>
      </c>
      <c r="C24" s="78">
        <f t="shared" si="0"/>
        <v>1525.28</v>
      </c>
      <c r="D24" s="239">
        <f t="shared" si="1"/>
        <v>0.14947526662962321</v>
      </c>
      <c r="E24" s="88" t="s">
        <v>300</v>
      </c>
      <c r="F24" s="182">
        <f t="shared" si="2"/>
        <v>0.05</v>
      </c>
      <c r="G24" s="78">
        <f t="shared" si="3"/>
        <v>120.75133333333333</v>
      </c>
      <c r="H24" s="78">
        <f t="shared" si="4"/>
        <v>6.3553333333333342</v>
      </c>
      <c r="I24" s="78">
        <f t="shared" si="5"/>
        <v>19.066000000000003</v>
      </c>
      <c r="J24" s="78">
        <f t="shared" si="6"/>
        <v>76.26400000000001</v>
      </c>
    </row>
    <row r="25" spans="1:10" ht="12.5">
      <c r="A25" s="77" t="s">
        <v>354</v>
      </c>
      <c r="B25" s="78">
        <v>65.600833333333341</v>
      </c>
      <c r="C25" s="78">
        <f t="shared" si="0"/>
        <v>787.21</v>
      </c>
      <c r="D25" s="102">
        <f t="shared" si="1"/>
        <v>7.7145458305036246E-2</v>
      </c>
      <c r="E25" s="88"/>
      <c r="F25" s="182">
        <f t="shared" si="2"/>
        <v>0.05</v>
      </c>
      <c r="G25" s="78">
        <f t="shared" si="3"/>
        <v>62.320791666666672</v>
      </c>
      <c r="H25" s="78">
        <f t="shared" si="4"/>
        <v>3.2800416666666692</v>
      </c>
      <c r="I25" s="78">
        <f t="shared" si="5"/>
        <v>9.8401250000000076</v>
      </c>
      <c r="J25" s="78">
        <f t="shared" si="6"/>
        <v>39.36050000000003</v>
      </c>
    </row>
    <row r="26" spans="1:10" ht="12.5">
      <c r="A26" s="77" t="s">
        <v>357</v>
      </c>
      <c r="B26" s="78">
        <v>118.1275</v>
      </c>
      <c r="C26" s="78">
        <f t="shared" si="0"/>
        <v>1417.53</v>
      </c>
      <c r="D26" s="239">
        <f t="shared" si="1"/>
        <v>0.13891592016252083</v>
      </c>
      <c r="E26" s="88" t="s">
        <v>380</v>
      </c>
      <c r="F26" s="182">
        <f t="shared" si="2"/>
        <v>0.05</v>
      </c>
      <c r="G26" s="78">
        <f t="shared" si="3"/>
        <v>112.22112499999999</v>
      </c>
      <c r="H26" s="78">
        <f t="shared" si="4"/>
        <v>5.9063750000000113</v>
      </c>
      <c r="I26" s="78">
        <f t="shared" si="5"/>
        <v>17.719125000000034</v>
      </c>
      <c r="J26" s="78">
        <f t="shared" si="6"/>
        <v>70.876500000000135</v>
      </c>
    </row>
    <row r="27" spans="1:10" ht="12.5">
      <c r="A27" s="77" t="s">
        <v>351</v>
      </c>
      <c r="B27" s="78">
        <v>321.75416666666666</v>
      </c>
      <c r="C27" s="78">
        <f t="shared" si="0"/>
        <v>3861.05</v>
      </c>
      <c r="D27" s="239">
        <f t="shared" si="1"/>
        <v>0.37837739839262741</v>
      </c>
      <c r="E27" s="88" t="s">
        <v>300</v>
      </c>
      <c r="F27" s="182">
        <f t="shared" si="2"/>
        <v>0.05</v>
      </c>
      <c r="G27" s="78">
        <f t="shared" si="3"/>
        <v>305.66645833333331</v>
      </c>
      <c r="H27" s="78">
        <f t="shared" si="4"/>
        <v>16.087708333333353</v>
      </c>
      <c r="I27" s="78">
        <f t="shared" si="5"/>
        <v>48.263125000000059</v>
      </c>
      <c r="J27" s="78">
        <f t="shared" si="6"/>
        <v>193.05250000000024</v>
      </c>
    </row>
    <row r="28" spans="1:10" ht="12.5">
      <c r="A28" s="77" t="s">
        <v>166</v>
      </c>
      <c r="B28" s="78">
        <v>-10.228181818181818</v>
      </c>
      <c r="C28" s="78">
        <f t="shared" si="0"/>
        <v>-122.73818181818183</v>
      </c>
      <c r="D28" s="102">
        <f t="shared" si="1"/>
        <v>-1.2028166928634678E-2</v>
      </c>
      <c r="E28" s="88"/>
      <c r="F28" s="182">
        <f t="shared" si="2"/>
        <v>0.05</v>
      </c>
      <c r="G28" s="78">
        <f t="shared" si="3"/>
        <v>-9.7167727272727262</v>
      </c>
      <c r="H28" s="78">
        <f t="shared" si="4"/>
        <v>-0.51140909090909226</v>
      </c>
      <c r="I28" s="78">
        <f t="shared" si="5"/>
        <v>-1.5342272727272768</v>
      </c>
      <c r="J28" s="78">
        <f t="shared" si="6"/>
        <v>-6.1369090909091071</v>
      </c>
    </row>
    <row r="29" spans="1:10" ht="12.5">
      <c r="A29" s="77" t="s">
        <v>167</v>
      </c>
      <c r="B29" s="78">
        <v>70.179090909090917</v>
      </c>
      <c r="C29" s="78">
        <f t="shared" si="0"/>
        <v>842.149090909091</v>
      </c>
      <c r="D29" s="102">
        <f t="shared" si="1"/>
        <v>8.2529410931455979E-2</v>
      </c>
      <c r="E29" s="88"/>
      <c r="F29" s="182">
        <f t="shared" si="2"/>
        <v>0.05</v>
      </c>
      <c r="G29" s="78">
        <f t="shared" si="3"/>
        <v>66.670136363636374</v>
      </c>
      <c r="H29" s="78">
        <f t="shared" si="4"/>
        <v>3.508954545454543</v>
      </c>
      <c r="I29" s="78">
        <f t="shared" si="5"/>
        <v>10.526863636363629</v>
      </c>
      <c r="J29" s="78">
        <f t="shared" si="6"/>
        <v>42.107454545454516</v>
      </c>
    </row>
    <row r="30" spans="1:10" ht="12.5">
      <c r="A30" s="77" t="s">
        <v>160</v>
      </c>
      <c r="B30" s="78"/>
      <c r="C30" s="78">
        <f t="shared" si="0"/>
        <v>0</v>
      </c>
      <c r="D30" s="102">
        <f t="shared" si="1"/>
        <v>0</v>
      </c>
      <c r="E30" s="88"/>
      <c r="F30" s="182">
        <f t="shared" si="2"/>
        <v>0.05</v>
      </c>
      <c r="G30" s="78">
        <f t="shared" si="3"/>
        <v>0</v>
      </c>
      <c r="H30" s="78">
        <f t="shared" si="4"/>
        <v>0</v>
      </c>
      <c r="I30" s="78">
        <f t="shared" si="5"/>
        <v>0</v>
      </c>
      <c r="J30" s="78">
        <f t="shared" si="6"/>
        <v>0</v>
      </c>
    </row>
    <row r="31" spans="1:10" ht="13">
      <c r="A31" s="80" t="s">
        <v>161</v>
      </c>
      <c r="B31" s="81">
        <f>SUM(B7:B22)</f>
        <v>850.35249999999985</v>
      </c>
      <c r="C31" s="81">
        <f>SUM(C7:C22)</f>
        <v>10204.23</v>
      </c>
      <c r="D31" s="183">
        <f t="shared" si="1"/>
        <v>1</v>
      </c>
      <c r="E31" s="94"/>
      <c r="F31" s="94"/>
      <c r="G31" s="81">
        <f>SUM(G7:G22)</f>
        <v>618.59574999999995</v>
      </c>
      <c r="H31" s="81">
        <f>SUM(H7:H22)</f>
        <v>231.75674999999998</v>
      </c>
      <c r="I31" s="81">
        <f>SUM(I7:I22)</f>
        <v>695.27025000000003</v>
      </c>
      <c r="J31" s="81">
        <f>SUM(J7:J22)</f>
        <v>2781.0810000000001</v>
      </c>
    </row>
  </sheetData>
  <mergeCells count="1">
    <mergeCell ref="A2:C2"/>
  </mergeCells>
  <dataValidations count="1">
    <dataValidation type="list" allowBlank="1" showErrorMessage="1" sqref="E7:E30" xr:uid="{00000000-0002-0000-1000-000000000000}">
      <formula1>"ELIMINAR,SUSTITUIR,RENEGOCIAR,NINGUNA"</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
  <sheetViews>
    <sheetView topLeftCell="A16" workbookViewId="0"/>
  </sheetViews>
  <sheetFormatPr baseColWidth="10" defaultColWidth="12.6328125" defaultRowHeight="15.75" customHeight="1"/>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B2:D40"/>
  <sheetViews>
    <sheetView topLeftCell="A20" workbookViewId="0">
      <selection activeCell="G25" sqref="G25"/>
    </sheetView>
  </sheetViews>
  <sheetFormatPr baseColWidth="10" defaultColWidth="12.6328125" defaultRowHeight="15.75" customHeight="1"/>
  <cols>
    <col min="2" max="2" width="50" customWidth="1"/>
    <col min="3" max="3" width="38.26953125" customWidth="1"/>
  </cols>
  <sheetData>
    <row r="2" spans="2:4" ht="15.75" customHeight="1">
      <c r="B2" s="281" t="s">
        <v>301</v>
      </c>
      <c r="C2" s="261"/>
      <c r="D2" s="96"/>
    </row>
    <row r="4" spans="2:4" ht="13">
      <c r="B4" s="184" t="s">
        <v>302</v>
      </c>
      <c r="C4" s="184" t="s">
        <v>303</v>
      </c>
      <c r="D4" s="95"/>
    </row>
    <row r="5" spans="2:4" ht="15.75" customHeight="1">
      <c r="B5" s="185">
        <v>250</v>
      </c>
      <c r="C5" s="185">
        <v>8</v>
      </c>
      <c r="D5" s="95"/>
    </row>
    <row r="6" spans="2:4" ht="15.75" customHeight="1">
      <c r="B6" s="95"/>
      <c r="D6" s="95"/>
    </row>
    <row r="7" spans="2:4" ht="14">
      <c r="B7" s="186" t="s">
        <v>304</v>
      </c>
      <c r="C7" s="187"/>
      <c r="D7" s="95"/>
    </row>
    <row r="8" spans="2:4" ht="15.75" customHeight="1">
      <c r="D8" s="95"/>
    </row>
    <row r="9" spans="2:4" ht="13">
      <c r="B9" s="184" t="s">
        <v>305</v>
      </c>
      <c r="C9" s="184" t="s">
        <v>303</v>
      </c>
      <c r="D9" s="95"/>
    </row>
    <row r="10" spans="2:4" ht="15.75" customHeight="1">
      <c r="B10" s="185">
        <v>200</v>
      </c>
      <c r="C10" s="185">
        <v>8</v>
      </c>
    </row>
    <row r="11" spans="2:4" ht="13">
      <c r="B11" s="188"/>
      <c r="C11" s="188"/>
    </row>
    <row r="12" spans="2:4" ht="13">
      <c r="B12" s="184" t="s">
        <v>306</v>
      </c>
      <c r="C12" s="184" t="s">
        <v>303</v>
      </c>
    </row>
    <row r="13" spans="2:4" ht="15.75" customHeight="1">
      <c r="B13" s="185">
        <v>50</v>
      </c>
      <c r="C13" s="185">
        <v>5</v>
      </c>
    </row>
    <row r="14" spans="2:4" ht="13">
      <c r="B14" s="188"/>
      <c r="C14" s="188"/>
    </row>
    <row r="15" spans="2:4" ht="13">
      <c r="B15" s="188"/>
      <c r="C15" s="188"/>
    </row>
    <row r="16" spans="2:4" ht="13">
      <c r="B16" s="312" t="s">
        <v>307</v>
      </c>
      <c r="C16" s="310"/>
    </row>
    <row r="17" spans="2:4" ht="13">
      <c r="B17" s="313">
        <f>'1 GASTOS'!C25</f>
        <v>15383.43</v>
      </c>
      <c r="C17" s="288"/>
      <c r="D17" s="189" t="s">
        <v>308</v>
      </c>
    </row>
    <row r="18" spans="2:4" ht="15.75" customHeight="1">
      <c r="B18" s="190"/>
      <c r="C18" s="190"/>
      <c r="D18" s="95"/>
    </row>
    <row r="19" spans="2:4" ht="13">
      <c r="B19" s="314" t="s">
        <v>309</v>
      </c>
      <c r="C19" s="288"/>
      <c r="D19" s="95"/>
    </row>
    <row r="20" spans="2:4" ht="13">
      <c r="B20" s="313">
        <f>B17/12</f>
        <v>1281.9525000000001</v>
      </c>
      <c r="C20" s="288"/>
      <c r="D20" s="189" t="s">
        <v>310</v>
      </c>
    </row>
    <row r="21" spans="2:4" ht="12.5">
      <c r="B21" s="190"/>
      <c r="C21" s="190"/>
      <c r="D21" s="95"/>
    </row>
    <row r="22" spans="2:4" ht="13">
      <c r="B22" s="314" t="s">
        <v>311</v>
      </c>
      <c r="C22" s="288"/>
      <c r="D22" s="95"/>
    </row>
    <row r="23" spans="2:4" ht="13">
      <c r="B23" s="313">
        <f>B17/365</f>
        <v>42.146383561643837</v>
      </c>
      <c r="C23" s="288"/>
      <c r="D23" s="189" t="s">
        <v>312</v>
      </c>
    </row>
    <row r="24" spans="2:4" ht="12.5">
      <c r="B24" s="59"/>
      <c r="C24" s="59"/>
      <c r="D24" s="95"/>
    </row>
    <row r="25" spans="2:4" ht="14">
      <c r="B25" s="191" t="s">
        <v>313</v>
      </c>
      <c r="C25" s="192"/>
      <c r="D25" s="95"/>
    </row>
    <row r="26" spans="2:4" ht="13">
      <c r="B26" s="193" t="s">
        <v>314</v>
      </c>
      <c r="C26" s="194"/>
      <c r="D26" s="95"/>
    </row>
    <row r="27" spans="2:4" ht="13">
      <c r="B27" s="313">
        <f>B17/B5</f>
        <v>61.533720000000002</v>
      </c>
      <c r="C27" s="288"/>
      <c r="D27" s="189" t="s">
        <v>315</v>
      </c>
    </row>
    <row r="28" spans="2:4" ht="12.5">
      <c r="B28" s="190"/>
      <c r="C28" s="190"/>
      <c r="D28" s="195"/>
    </row>
    <row r="29" spans="2:4" ht="13">
      <c r="B29" s="315" t="s">
        <v>316</v>
      </c>
      <c r="C29" s="288"/>
      <c r="D29" s="95"/>
    </row>
    <row r="30" spans="2:4" ht="13">
      <c r="B30" s="313">
        <f>B27/C5</f>
        <v>7.6917150000000003</v>
      </c>
      <c r="C30" s="288"/>
      <c r="D30" s="189" t="s">
        <v>317</v>
      </c>
    </row>
    <row r="32" spans="2:4" ht="14">
      <c r="B32" s="191" t="s">
        <v>318</v>
      </c>
      <c r="C32" s="192"/>
      <c r="D32" s="95"/>
    </row>
    <row r="33" spans="2:4" ht="13">
      <c r="B33" s="196" t="s">
        <v>319</v>
      </c>
      <c r="C33" s="197"/>
      <c r="D33" s="95"/>
    </row>
    <row r="34" spans="2:4" ht="13">
      <c r="B34" s="313">
        <f>B40*C10</f>
        <v>66.522940540540546</v>
      </c>
      <c r="C34" s="288"/>
      <c r="D34" s="189" t="s">
        <v>320</v>
      </c>
    </row>
    <row r="35" spans="2:4" ht="12.5">
      <c r="B35" s="190"/>
      <c r="C35" s="190"/>
      <c r="D35" s="195"/>
    </row>
    <row r="36" spans="2:4" ht="13">
      <c r="B36" s="196" t="s">
        <v>321</v>
      </c>
      <c r="C36" s="197"/>
      <c r="D36" s="95"/>
    </row>
    <row r="37" spans="2:4" ht="13">
      <c r="B37" s="316">
        <f>B40*C13</f>
        <v>41.576837837837843</v>
      </c>
      <c r="C37" s="317"/>
      <c r="D37" s="189" t="s">
        <v>322</v>
      </c>
    </row>
    <row r="38" spans="2:4" ht="13">
      <c r="B38" s="198"/>
      <c r="C38" s="198"/>
    </row>
    <row r="39" spans="2:4" ht="13">
      <c r="B39" s="309" t="s">
        <v>316</v>
      </c>
      <c r="C39" s="310"/>
    </row>
    <row r="40" spans="2:4" ht="13">
      <c r="B40" s="311">
        <f>B17/((B10*C10)+(B13*C13))</f>
        <v>8.3153675675675682</v>
      </c>
      <c r="C40" s="288"/>
      <c r="D40" s="189" t="s">
        <v>317</v>
      </c>
    </row>
  </sheetData>
  <mergeCells count="14">
    <mergeCell ref="B39:C39"/>
    <mergeCell ref="B40:C40"/>
    <mergeCell ref="B2:C2"/>
    <mergeCell ref="B16:C16"/>
    <mergeCell ref="B17:C17"/>
    <mergeCell ref="B19:C19"/>
    <mergeCell ref="B20:C20"/>
    <mergeCell ref="B22:C22"/>
    <mergeCell ref="B23:C23"/>
    <mergeCell ref="B27:C27"/>
    <mergeCell ref="B29:C29"/>
    <mergeCell ref="B30:C30"/>
    <mergeCell ref="B34:C34"/>
    <mergeCell ref="B37:C3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B1:E24"/>
  <sheetViews>
    <sheetView topLeftCell="A7" workbookViewId="0"/>
  </sheetViews>
  <sheetFormatPr baseColWidth="10" defaultColWidth="12.6328125" defaultRowHeight="15.75" customHeight="1"/>
  <cols>
    <col min="1" max="1" width="6.90625" customWidth="1"/>
    <col min="2" max="2" width="16.90625" customWidth="1"/>
    <col min="3" max="3" width="23.6328125" customWidth="1"/>
    <col min="4" max="4" width="24.7265625" customWidth="1"/>
    <col min="5" max="5" width="26.08984375" customWidth="1"/>
  </cols>
  <sheetData>
    <row r="1" spans="2:5" ht="15.75" customHeight="1">
      <c r="B1" s="279" t="s">
        <v>323</v>
      </c>
      <c r="C1" s="261"/>
      <c r="D1" s="261"/>
      <c r="E1" s="261"/>
    </row>
    <row r="2" spans="2:5" ht="15.75" customHeight="1">
      <c r="B2" s="199"/>
      <c r="C2" s="199"/>
      <c r="D2" s="199"/>
      <c r="E2" s="199"/>
    </row>
    <row r="3" spans="2:5" ht="15.75" customHeight="1">
      <c r="B3" s="199"/>
      <c r="C3" s="199"/>
      <c r="D3" s="199"/>
      <c r="E3" s="199"/>
    </row>
    <row r="4" spans="2:5" ht="15.75" customHeight="1">
      <c r="B4" s="200" t="s">
        <v>324</v>
      </c>
      <c r="C4" s="200" t="s">
        <v>325</v>
      </c>
      <c r="D4" s="200" t="s">
        <v>326</v>
      </c>
      <c r="E4" s="200" t="s">
        <v>327</v>
      </c>
    </row>
    <row r="5" spans="2:5" ht="15.75" customHeight="1">
      <c r="B5" s="201">
        <v>1</v>
      </c>
      <c r="C5" s="201"/>
      <c r="D5" s="201"/>
      <c r="E5" s="199" t="e">
        <f t="shared" ref="E5:E11" si="0">C5/D5</f>
        <v>#DIV/0!</v>
      </c>
    </row>
    <row r="6" spans="2:5" ht="15.75" customHeight="1">
      <c r="B6" s="201">
        <v>2</v>
      </c>
      <c r="C6" s="201"/>
      <c r="D6" s="201"/>
      <c r="E6" s="199" t="e">
        <f t="shared" si="0"/>
        <v>#DIV/0!</v>
      </c>
    </row>
    <row r="7" spans="2:5" ht="15.75" customHeight="1">
      <c r="B7" s="201">
        <v>3</v>
      </c>
      <c r="C7" s="201"/>
      <c r="D7" s="201"/>
      <c r="E7" s="199" t="e">
        <f t="shared" si="0"/>
        <v>#DIV/0!</v>
      </c>
    </row>
    <row r="8" spans="2:5" ht="15.75" customHeight="1">
      <c r="B8" s="201">
        <v>4</v>
      </c>
      <c r="C8" s="201"/>
      <c r="D8" s="201"/>
      <c r="E8" s="199" t="e">
        <f t="shared" si="0"/>
        <v>#DIV/0!</v>
      </c>
    </row>
    <row r="9" spans="2:5" ht="15.75" customHeight="1">
      <c r="B9" s="201">
        <v>5</v>
      </c>
      <c r="C9" s="201"/>
      <c r="D9" s="201"/>
      <c r="E9" s="199" t="e">
        <f t="shared" si="0"/>
        <v>#DIV/0!</v>
      </c>
    </row>
    <row r="10" spans="2:5" ht="15.75" customHeight="1">
      <c r="B10" s="201">
        <v>6</v>
      </c>
      <c r="C10" s="201"/>
      <c r="D10" s="201"/>
      <c r="E10" s="199" t="e">
        <f t="shared" si="0"/>
        <v>#DIV/0!</v>
      </c>
    </row>
    <row r="11" spans="2:5" ht="15.75" customHeight="1">
      <c r="B11" s="202" t="s">
        <v>161</v>
      </c>
      <c r="C11" s="202"/>
      <c r="D11" s="202"/>
      <c r="E11" s="202" t="e">
        <f t="shared" si="0"/>
        <v>#DIV/0!</v>
      </c>
    </row>
    <row r="12" spans="2:5" ht="15.75" customHeight="1">
      <c r="B12" s="199"/>
      <c r="C12" s="199"/>
      <c r="D12" s="199"/>
      <c r="E12" s="199"/>
    </row>
    <row r="13" spans="2:5" ht="15.75" customHeight="1">
      <c r="B13" s="199"/>
      <c r="C13" s="199"/>
      <c r="D13" s="199"/>
      <c r="E13" s="199"/>
    </row>
    <row r="14" spans="2:5" ht="15.75" customHeight="1">
      <c r="B14" s="90" t="s">
        <v>328</v>
      </c>
      <c r="C14" s="90"/>
      <c r="D14" s="90"/>
      <c r="E14" s="90"/>
    </row>
    <row r="16" spans="2:5" ht="15.75" customHeight="1">
      <c r="B16" s="203" t="s">
        <v>329</v>
      </c>
      <c r="C16" s="204"/>
      <c r="D16" s="205"/>
    </row>
    <row r="17" spans="2:4" ht="15.75" customHeight="1">
      <c r="B17" s="206" t="s">
        <v>330</v>
      </c>
      <c r="D17" s="207" t="e">
        <f>E11</f>
        <v>#DIV/0!</v>
      </c>
    </row>
    <row r="18" spans="2:4" ht="15.75" customHeight="1">
      <c r="B18" s="206" t="s">
        <v>331</v>
      </c>
      <c r="C18" s="199"/>
      <c r="D18" s="208">
        <f>'7 CUÁNTO VENDER AL DÍA'!B30</f>
        <v>7.6917150000000003</v>
      </c>
    </row>
    <row r="19" spans="2:4" ht="15.75" customHeight="1">
      <c r="B19" s="209" t="s">
        <v>332</v>
      </c>
      <c r="C19" s="210"/>
      <c r="D19" s="211" t="e">
        <f>D17/D18</f>
        <v>#DIV/0!</v>
      </c>
    </row>
    <row r="20" spans="2:4" ht="15.5">
      <c r="B20" s="199"/>
      <c r="C20" s="199"/>
      <c r="D20" s="199"/>
    </row>
    <row r="21" spans="2:4" ht="15.5">
      <c r="B21" s="203" t="s">
        <v>318</v>
      </c>
      <c r="C21" s="212"/>
      <c r="D21" s="213"/>
    </row>
    <row r="22" spans="2:4" ht="15.5">
      <c r="B22" s="214" t="s">
        <v>330</v>
      </c>
      <c r="C22" s="215"/>
      <c r="D22" s="216" t="e">
        <f>E11</f>
        <v>#DIV/0!</v>
      </c>
    </row>
    <row r="23" spans="2:4" ht="15.5">
      <c r="B23" s="206" t="s">
        <v>331</v>
      </c>
      <c r="C23" s="199"/>
      <c r="D23" s="208">
        <f>'7 CUÁNTO VENDER AL DÍA'!B40</f>
        <v>8.3153675675675682</v>
      </c>
    </row>
    <row r="24" spans="2:4" ht="15.5">
      <c r="B24" s="209" t="s">
        <v>332</v>
      </c>
      <c r="C24" s="210"/>
      <c r="D24" s="211" t="e">
        <f>D22/D23</f>
        <v>#DIV/0!</v>
      </c>
    </row>
  </sheetData>
  <mergeCells count="1">
    <mergeCell ref="B1:E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
  <sheetViews>
    <sheetView topLeftCell="A16" workbookViewId="0"/>
  </sheetViews>
  <sheetFormatPr baseColWidth="10" defaultColWidth="12.6328125" defaultRowHeight="15.75" customHeight="1"/>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Cronograma de Trabajo</vt:lpstr>
      <vt:lpstr>SEMANA 1</vt:lpstr>
      <vt:lpstr>Glosario de Conceptos Básicos</vt:lpstr>
      <vt:lpstr>Cuestionario de Salud Financier</vt:lpstr>
      <vt:lpstr>SEMANA 2</vt:lpstr>
      <vt:lpstr>1 GASTOS</vt:lpstr>
      <vt:lpstr>1 GASTOS mensuales</vt:lpstr>
      <vt:lpstr>2 INGRESOS</vt:lpstr>
      <vt:lpstr>2 INGRESOS mensuales</vt:lpstr>
      <vt:lpstr>3 COMPENSACIÓN</vt:lpstr>
      <vt:lpstr>SEMANA 3</vt:lpstr>
      <vt:lpstr>4 DISTRIBUCIÓN AL AZAR -NEGOCIO</vt:lpstr>
      <vt:lpstr>4 DISTRIBUCIÓN AL AZAR-NEGOCIO </vt:lpstr>
      <vt:lpstr>SEMANA 4</vt:lpstr>
      <vt:lpstr>5 META DE DISTRIBUCIÓN - NEGOCI</vt:lpstr>
      <vt:lpstr>servicios</vt:lpstr>
      <vt:lpstr>SEMANA 5</vt:lpstr>
      <vt:lpstr>SEMANA 6</vt:lpstr>
      <vt:lpstr>6 REDUCCIÓN DE GASTOS</vt:lpstr>
      <vt:lpstr>SEMANA 7</vt:lpstr>
      <vt:lpstr>7 CUÁNTO VENDER AL DÍA</vt:lpstr>
      <vt:lpstr>8 TICKET MEDIO</vt:lpstr>
      <vt:lpstr>ESTRATEGIAS EXTRAS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 Vert</cp:lastModifiedBy>
  <dcterms:created xsi:type="dcterms:W3CDTF">2023-12-04T11:32:08Z</dcterms:created>
  <dcterms:modified xsi:type="dcterms:W3CDTF">2025-08-08T11:15:42Z</dcterms:modified>
</cp:coreProperties>
</file>